
<file path=[Content_Types].xml><?xml version="1.0" encoding="utf-8"?>
<Types xmlns="http://schemas.openxmlformats.org/package/2006/content-types">
  <Default Extension="wmf" ContentType="image/x-wmf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2D3DE8ECCA543E8ACCC9CF421455EB8" descr="119425-89-7 (1)"/>
        <xdr:cNvPicPr/>
      </xdr:nvPicPr>
      <xdr:blipFill>
        <a:blip r:embed="rId1"/>
        <a:stretch>
          <a:fillRect/>
        </a:stretch>
      </xdr:blipFill>
      <xdr:spPr>
        <a:xfrm>
          <a:off x="0" y="0"/>
          <a:ext cx="3828415" cy="1304925"/>
        </a:xfrm>
        <a:prstGeom prst="rect">
          <a:avLst/>
        </a:prstGeom>
      </xdr:spPr>
    </xdr:pic>
  </etc:cellImage>
  <etc:cellImage>
    <xdr:pic>
      <xdr:nvPicPr>
        <xdr:cNvPr id="3" name="ID_C30320838E334A97A9F5D480149A8E95" descr="119425-90-0"/>
        <xdr:cNvPicPr/>
      </xdr:nvPicPr>
      <xdr:blipFill>
        <a:blip r:embed="rId2"/>
        <a:stretch>
          <a:fillRect/>
        </a:stretch>
      </xdr:blipFill>
      <xdr:spPr>
        <a:xfrm>
          <a:off x="0" y="0"/>
          <a:ext cx="3828415" cy="1445260"/>
        </a:xfrm>
        <a:prstGeom prst="rect">
          <a:avLst/>
        </a:prstGeom>
      </xdr:spPr>
    </xdr:pic>
  </etc:cellImage>
  <etc:cellImage>
    <xdr:pic>
      <xdr:nvPicPr>
        <xdr:cNvPr id="4" name="ID_401D178A94454D6391327CEB0FCF250E" descr="116384-24-8"/>
        <xdr:cNvPicPr/>
      </xdr:nvPicPr>
      <xdr:blipFill>
        <a:blip r:embed="rId3"/>
        <a:stretch>
          <a:fillRect/>
        </a:stretch>
      </xdr:blipFill>
      <xdr:spPr>
        <a:xfrm>
          <a:off x="0" y="0"/>
          <a:ext cx="3633470" cy="1304925"/>
        </a:xfrm>
        <a:prstGeom prst="rect">
          <a:avLst/>
        </a:prstGeom>
      </xdr:spPr>
    </xdr:pic>
  </etc:cellImage>
  <etc:cellImage>
    <xdr:pic>
      <xdr:nvPicPr>
        <xdr:cNvPr id="5" name="ID_E7A56FE0F8A74F26B5D357481582A435" descr="119425-91-1"/>
        <xdr:cNvPicPr/>
      </xdr:nvPicPr>
      <xdr:blipFill>
        <a:blip r:embed="rId4"/>
        <a:stretch>
          <a:fillRect/>
        </a:stretch>
      </xdr:blipFill>
      <xdr:spPr>
        <a:xfrm>
          <a:off x="0" y="0"/>
          <a:ext cx="3633470" cy="1304925"/>
        </a:xfrm>
        <a:prstGeom prst="rect">
          <a:avLst/>
        </a:prstGeom>
      </xdr:spPr>
    </xdr:pic>
  </etc:cellImage>
  <etc:cellImage>
    <xdr:pic>
      <xdr:nvPicPr>
        <xdr:cNvPr id="6" name="ID_B64F8583B3F24207A1BDB5D9916CCBBB" descr="151752-08-8"/>
        <xdr:cNvPicPr/>
      </xdr:nvPicPr>
      <xdr:blipFill>
        <a:blip r:embed="rId5"/>
        <a:stretch>
          <a:fillRect/>
        </a:stretch>
      </xdr:blipFill>
      <xdr:spPr>
        <a:xfrm>
          <a:off x="0" y="0"/>
          <a:ext cx="3633470" cy="1445260"/>
        </a:xfrm>
        <a:prstGeom prst="rect">
          <a:avLst/>
        </a:prstGeom>
      </xdr:spPr>
    </xdr:pic>
  </etc:cellImage>
  <etc:cellImage>
    <xdr:pic>
      <xdr:nvPicPr>
        <xdr:cNvPr id="7" name="ID_DC2D2A383AB149ECB8EAF21AEC2D9F49" descr="221696-69-1"/>
        <xdr:cNvPicPr/>
      </xdr:nvPicPr>
      <xdr:blipFill>
        <a:blip r:embed="rId6"/>
        <a:stretch>
          <a:fillRect/>
        </a:stretch>
      </xdr:blipFill>
      <xdr:spPr>
        <a:xfrm>
          <a:off x="0" y="0"/>
          <a:ext cx="3169920" cy="1445260"/>
        </a:xfrm>
        <a:prstGeom prst="rect">
          <a:avLst/>
        </a:prstGeom>
      </xdr:spPr>
    </xdr:pic>
  </etc:cellImage>
  <etc:cellImage>
    <xdr:pic>
      <xdr:nvPicPr>
        <xdr:cNvPr id="8" name="ID_511E470B327B4D3F8A1B4F0E860FEF9B" descr="51828-10-5"/>
        <xdr:cNvPicPr/>
      </xdr:nvPicPr>
      <xdr:blipFill>
        <a:blip r:embed="rId7"/>
        <a:stretch>
          <a:fillRect/>
        </a:stretch>
      </xdr:blipFill>
      <xdr:spPr>
        <a:xfrm>
          <a:off x="0" y="0"/>
          <a:ext cx="3633470" cy="1304925"/>
        </a:xfrm>
        <a:prstGeom prst="rect">
          <a:avLst/>
        </a:prstGeom>
      </xdr:spPr>
    </xdr:pic>
  </etc:cellImage>
  <etc:cellImage>
    <xdr:pic>
      <xdr:nvPicPr>
        <xdr:cNvPr id="9" name="ID_7EFBA73C07C843B981899AA6DF241663" descr="961-29-5"/>
        <xdr:cNvPicPr/>
      </xdr:nvPicPr>
      <xdr:blipFill>
        <a:blip r:embed="rId8"/>
        <a:stretch>
          <a:fillRect/>
        </a:stretch>
      </xdr:blipFill>
      <xdr:spPr>
        <a:xfrm>
          <a:off x="0" y="0"/>
          <a:ext cx="3633470" cy="1304925"/>
        </a:xfrm>
        <a:prstGeom prst="rect">
          <a:avLst/>
        </a:prstGeom>
      </xdr:spPr>
    </xdr:pic>
  </etc:cellImage>
  <etc:cellImage>
    <xdr:pic>
      <xdr:nvPicPr>
        <xdr:cNvPr id="10" name="ID_F637CCA1235A43A59FA6A6FB9361A204" descr="94344-54-4"/>
        <xdr:cNvPicPr/>
      </xdr:nvPicPr>
      <xdr:blipFill>
        <a:blip r:embed="rId9"/>
        <a:stretch>
          <a:fillRect/>
        </a:stretch>
      </xdr:blipFill>
      <xdr:spPr>
        <a:xfrm>
          <a:off x="0" y="0"/>
          <a:ext cx="3633470" cy="1304925"/>
        </a:xfrm>
        <a:prstGeom prst="rect">
          <a:avLst/>
        </a:prstGeom>
      </xdr:spPr>
    </xdr:pic>
  </etc:cellImage>
  <etc:cellImage>
    <xdr:pic>
      <xdr:nvPicPr>
        <xdr:cNvPr id="11" name="ID_0FF10468A06E46F69BA74B9A4FC5E646" descr="112408-67-0"/>
        <xdr:cNvPicPr/>
      </xdr:nvPicPr>
      <xdr:blipFill>
        <a:blip r:embed="rId10"/>
        <a:stretch>
          <a:fillRect/>
        </a:stretch>
      </xdr:blipFill>
      <xdr:spPr>
        <a:xfrm>
          <a:off x="0" y="0"/>
          <a:ext cx="3633470" cy="1304925"/>
        </a:xfrm>
        <a:prstGeom prst="rect">
          <a:avLst/>
        </a:prstGeom>
      </xdr:spPr>
    </xdr:pic>
  </etc:cellImage>
  <etc:cellImage>
    <xdr:pic>
      <xdr:nvPicPr>
        <xdr:cNvPr id="12" name="ID_383E11F062AD4F20917D5D597FC36CC4" descr="13323-67-6"/>
        <xdr:cNvPicPr/>
      </xdr:nvPicPr>
      <xdr:blipFill>
        <a:blip r:embed="rId11"/>
        <a:stretch>
          <a:fillRect/>
        </a:stretch>
      </xdr:blipFill>
      <xdr:spPr>
        <a:xfrm>
          <a:off x="0" y="0"/>
          <a:ext cx="3828415" cy="1304925"/>
        </a:xfrm>
        <a:prstGeom prst="rect">
          <a:avLst/>
        </a:prstGeom>
      </xdr:spPr>
    </xdr:pic>
  </etc:cellImage>
  <etc:cellImage>
    <xdr:pic>
      <xdr:nvPicPr>
        <xdr:cNvPr id="13" name="ID_E904AAA25FC54FBD803E57E489B798A8" descr="162290-05-3"/>
        <xdr:cNvPicPr/>
      </xdr:nvPicPr>
      <xdr:blipFill>
        <a:blip r:embed="rId12"/>
        <a:stretch>
          <a:fillRect/>
        </a:stretch>
      </xdr:blipFill>
      <xdr:spPr>
        <a:xfrm>
          <a:off x="0" y="0"/>
          <a:ext cx="3499485" cy="1454150"/>
        </a:xfrm>
        <a:prstGeom prst="rect">
          <a:avLst/>
        </a:prstGeom>
      </xdr:spPr>
    </xdr:pic>
  </etc:cellImage>
  <etc:cellImage>
    <xdr:pic>
      <xdr:nvPicPr>
        <xdr:cNvPr id="14" name="ID_FF1C4713DBF341578135716DD45665E3" descr="82925-55-1"/>
        <xdr:cNvPicPr/>
      </xdr:nvPicPr>
      <xdr:blipFill>
        <a:blip r:embed="rId13"/>
        <a:stretch>
          <a:fillRect/>
        </a:stretch>
      </xdr:blipFill>
      <xdr:spPr>
        <a:xfrm>
          <a:off x="0" y="0"/>
          <a:ext cx="3304540" cy="1454150"/>
        </a:xfrm>
        <a:prstGeom prst="rect">
          <a:avLst/>
        </a:prstGeom>
      </xdr:spPr>
    </xdr:pic>
  </etc:cellImage>
  <etc:cellImage>
    <xdr:pic>
      <xdr:nvPicPr>
        <xdr:cNvPr id="15" name="ID_6467D7DF8BF5402597BC69D3CA82CE3F" descr="2196-14-7"/>
        <xdr:cNvPicPr/>
      </xdr:nvPicPr>
      <xdr:blipFill>
        <a:blip r:embed="rId14"/>
        <a:stretch>
          <a:fillRect/>
        </a:stretch>
      </xdr:blipFill>
      <xdr:spPr>
        <a:xfrm>
          <a:off x="0" y="0"/>
          <a:ext cx="3304540" cy="1874520"/>
        </a:xfrm>
        <a:prstGeom prst="rect">
          <a:avLst/>
        </a:prstGeom>
      </xdr:spPr>
    </xdr:pic>
  </etc:cellImage>
  <etc:cellImage>
    <xdr:pic>
      <xdr:nvPicPr>
        <xdr:cNvPr id="16" name="ID_1294620CB74C4E58B3D71C2CA71E8361" descr="82925-55-1"/>
        <xdr:cNvPicPr/>
      </xdr:nvPicPr>
      <xdr:blipFill>
        <a:blip r:embed="rId13"/>
        <a:stretch>
          <a:fillRect/>
        </a:stretch>
      </xdr:blipFill>
      <xdr:spPr>
        <a:xfrm>
          <a:off x="0" y="0"/>
          <a:ext cx="3304540" cy="1454150"/>
        </a:xfrm>
        <a:prstGeom prst="rect">
          <a:avLst/>
        </a:prstGeom>
      </xdr:spPr>
    </xdr:pic>
  </etc:cellImage>
  <etc:cellImage>
    <xdr:pic>
      <xdr:nvPicPr>
        <xdr:cNvPr id="18" name="ID_1777AEA3B7F14F8A85CFBFB73E6A260E" descr="148462-00-4"/>
        <xdr:cNvPicPr/>
      </xdr:nvPicPr>
      <xdr:blipFill>
        <a:blip r:embed="rId15"/>
        <a:stretch>
          <a:fillRect/>
        </a:stretch>
      </xdr:blipFill>
      <xdr:spPr>
        <a:xfrm>
          <a:off x="0" y="0"/>
          <a:ext cx="3633470" cy="881380"/>
        </a:xfrm>
        <a:prstGeom prst="rect">
          <a:avLst/>
        </a:prstGeom>
      </xdr:spPr>
    </xdr:pic>
  </etc:cellImage>
  <etc:cellImage>
    <xdr:pic>
      <xdr:nvPicPr>
        <xdr:cNvPr id="19" name="ID_9FA44B6B7F1340968A548CC46F8C7E6A" descr="206560-99-8"/>
        <xdr:cNvPicPr/>
      </xdr:nvPicPr>
      <xdr:blipFill>
        <a:blip r:embed="rId16"/>
        <a:stretch>
          <a:fillRect/>
        </a:stretch>
      </xdr:blipFill>
      <xdr:spPr>
        <a:xfrm>
          <a:off x="0" y="0"/>
          <a:ext cx="3499485" cy="1874520"/>
        </a:xfrm>
        <a:prstGeom prst="rect">
          <a:avLst/>
        </a:prstGeom>
      </xdr:spPr>
    </xdr:pic>
  </etc:cellImage>
  <etc:cellImage>
    <xdr:pic>
      <xdr:nvPicPr>
        <xdr:cNvPr id="20" name="ID_E31774474505407183AC646CB3BBC99F" descr="162290-05-3 (1)"/>
        <xdr:cNvPicPr/>
      </xdr:nvPicPr>
      <xdr:blipFill>
        <a:blip r:embed="rId12"/>
        <a:stretch>
          <a:fillRect/>
        </a:stretch>
      </xdr:blipFill>
      <xdr:spPr>
        <a:xfrm>
          <a:off x="0" y="0"/>
          <a:ext cx="3499485" cy="1454150"/>
        </a:xfrm>
        <a:prstGeom prst="rect">
          <a:avLst/>
        </a:prstGeom>
      </xdr:spPr>
    </xdr:pic>
  </etc:cellImage>
  <etc:cellImage>
    <xdr:pic>
      <xdr:nvPicPr>
        <xdr:cNvPr id="21" name="ID_91E2ADEC9DD74BF5818D8A020943EFA4" descr="74474-60-5"/>
        <xdr:cNvPicPr/>
      </xdr:nvPicPr>
      <xdr:blipFill>
        <a:blip r:embed="rId17"/>
        <a:stretch>
          <a:fillRect/>
        </a:stretch>
      </xdr:blipFill>
      <xdr:spPr>
        <a:xfrm>
          <a:off x="0" y="0"/>
          <a:ext cx="3499485" cy="1454150"/>
        </a:xfrm>
        <a:prstGeom prst="rect">
          <a:avLst/>
        </a:prstGeom>
      </xdr:spPr>
    </xdr:pic>
  </etc:cellImage>
  <etc:cellImage>
    <xdr:pic>
      <xdr:nvPicPr>
        <xdr:cNvPr id="22" name="ID_5E63FE12D7F14C2EB6062B3313ED395F" descr="2196-14-7 (1)"/>
        <xdr:cNvPicPr/>
      </xdr:nvPicPr>
      <xdr:blipFill>
        <a:blip r:embed="rId18"/>
        <a:stretch>
          <a:fillRect/>
        </a:stretch>
      </xdr:blipFill>
      <xdr:spPr>
        <a:xfrm>
          <a:off x="0" y="0"/>
          <a:ext cx="3304540" cy="1877695"/>
        </a:xfrm>
        <a:prstGeom prst="rect">
          <a:avLst/>
        </a:prstGeom>
      </xdr:spPr>
    </xdr:pic>
  </etc:cellImage>
  <etc:cellImage>
    <xdr:pic>
      <xdr:nvPicPr>
        <xdr:cNvPr id="23" name="ID_C7666338A3F4481A8449189243B358CE" descr="578-86-9 (1)"/>
        <xdr:cNvPicPr/>
      </xdr:nvPicPr>
      <xdr:blipFill>
        <a:blip r:embed="rId19"/>
        <a:stretch>
          <a:fillRect/>
        </a:stretch>
      </xdr:blipFill>
      <xdr:spPr>
        <a:xfrm>
          <a:off x="0" y="0"/>
          <a:ext cx="3307080" cy="1877695"/>
        </a:xfrm>
        <a:prstGeom prst="rect">
          <a:avLst/>
        </a:prstGeom>
      </xdr:spPr>
    </xdr:pic>
  </etc:cellImage>
  <etc:cellImage>
    <xdr:pic>
      <xdr:nvPicPr>
        <xdr:cNvPr id="24" name="ID_1FA83DE878B341B3AAB5FF0856B8C861" descr="3301-49-3"/>
        <xdr:cNvPicPr/>
      </xdr:nvPicPr>
      <xdr:blipFill>
        <a:blip r:embed="rId20"/>
        <a:stretch>
          <a:fillRect/>
        </a:stretch>
      </xdr:blipFill>
      <xdr:spPr>
        <a:xfrm>
          <a:off x="0" y="0"/>
          <a:ext cx="3496310" cy="1877695"/>
        </a:xfrm>
        <a:prstGeom prst="rect">
          <a:avLst/>
        </a:prstGeom>
      </xdr:spPr>
    </xdr:pic>
  </etc:cellImage>
  <etc:cellImage>
    <xdr:pic>
      <xdr:nvPicPr>
        <xdr:cNvPr id="26" name="ID_17730C6E26C543D0BA5FDFB1CC2BDEC9" descr="148462-00-4 (1)"/>
        <xdr:cNvPicPr/>
      </xdr:nvPicPr>
      <xdr:blipFill>
        <a:blip r:embed="rId21"/>
        <a:stretch>
          <a:fillRect/>
        </a:stretch>
      </xdr:blipFill>
      <xdr:spPr>
        <a:xfrm>
          <a:off x="0" y="0"/>
          <a:ext cx="3636645" cy="881380"/>
        </a:xfrm>
        <a:prstGeom prst="rect">
          <a:avLst/>
        </a:prstGeom>
      </xdr:spPr>
    </xdr:pic>
  </etc:cellImage>
  <etc:cellImage>
    <xdr:pic>
      <xdr:nvPicPr>
        <xdr:cNvPr id="27" name="ID_41109898455E4A0BA895FAEF1B607A0D" descr="520-36-5"/>
        <xdr:cNvPicPr/>
      </xdr:nvPicPr>
      <xdr:blipFill>
        <a:blip r:embed="rId22"/>
        <a:stretch>
          <a:fillRect/>
        </a:stretch>
      </xdr:blipFill>
      <xdr:spPr>
        <a:xfrm>
          <a:off x="0" y="0"/>
          <a:ext cx="3307080" cy="1877695"/>
        </a:xfrm>
        <a:prstGeom prst="rect">
          <a:avLst/>
        </a:prstGeom>
      </xdr:spPr>
    </xdr:pic>
  </etc:cellImage>
  <etc:cellImage>
    <xdr:pic>
      <xdr:nvPicPr>
        <xdr:cNvPr id="28" name="ID_516170FE372A4C86838BA6389E4B73BF" descr="6665-86-7"/>
        <xdr:cNvPicPr/>
      </xdr:nvPicPr>
      <xdr:blipFill>
        <a:blip r:embed="rId23"/>
        <a:stretch>
          <a:fillRect/>
        </a:stretch>
      </xdr:blipFill>
      <xdr:spPr>
        <a:xfrm>
          <a:off x="0" y="0"/>
          <a:ext cx="2844165" cy="1835150"/>
        </a:xfrm>
        <a:prstGeom prst="rect">
          <a:avLst/>
        </a:prstGeom>
      </xdr:spPr>
    </xdr:pic>
  </etc:cellImage>
  <etc:cellImage>
    <xdr:pic>
      <xdr:nvPicPr>
        <xdr:cNvPr id="29" name="ID_95165DF395304676900D1BF6F470BC91" descr="552-66-9"/>
        <xdr:cNvPicPr/>
      </xdr:nvPicPr>
      <xdr:blipFill>
        <a:blip r:embed="rId24"/>
        <a:stretch>
          <a:fillRect/>
        </a:stretch>
      </xdr:blipFill>
      <xdr:spPr>
        <a:xfrm>
          <a:off x="0" y="0"/>
          <a:ext cx="4624070" cy="1877695"/>
        </a:xfrm>
        <a:prstGeom prst="rect">
          <a:avLst/>
        </a:prstGeom>
      </xdr:spPr>
    </xdr:pic>
  </etc:cellImage>
  <etc:cellImage>
    <xdr:pic>
      <xdr:nvPicPr>
        <xdr:cNvPr id="30" name="ID_A133B316E7DA4B9CA3689B2660FD9442" descr="1177-14-6"/>
        <xdr:cNvPicPr/>
      </xdr:nvPicPr>
      <xdr:blipFill>
        <a:blip r:embed="rId25"/>
        <a:stretch>
          <a:fillRect/>
        </a:stretch>
      </xdr:blipFill>
      <xdr:spPr>
        <a:xfrm>
          <a:off x="0" y="0"/>
          <a:ext cx="4252595" cy="1856740"/>
        </a:xfrm>
        <a:prstGeom prst="rect">
          <a:avLst/>
        </a:prstGeom>
      </xdr:spPr>
    </xdr:pic>
  </etc:cellImage>
  <etc:cellImage>
    <xdr:pic>
      <xdr:nvPicPr>
        <xdr:cNvPr id="31" name="ID_DF969EC202334B18A41B051D8058BFF0" descr="1177-14-6 (1)"/>
        <xdr:cNvPicPr/>
      </xdr:nvPicPr>
      <xdr:blipFill>
        <a:blip r:embed="rId25"/>
        <a:stretch>
          <a:fillRect/>
        </a:stretch>
      </xdr:blipFill>
      <xdr:spPr>
        <a:xfrm>
          <a:off x="0" y="0"/>
          <a:ext cx="4252595" cy="1856740"/>
        </a:xfrm>
        <a:prstGeom prst="rect">
          <a:avLst/>
        </a:prstGeom>
      </xdr:spPr>
    </xdr:pic>
  </etc:cellImage>
  <etc:cellImage>
    <xdr:pic>
      <xdr:nvPicPr>
        <xdr:cNvPr id="32" name="ID_0C6B029C22684C1C8567C3EEEAD2DA80" descr="74465-40-0"/>
        <xdr:cNvPicPr/>
      </xdr:nvPicPr>
      <xdr:blipFill>
        <a:blip r:embed="rId26"/>
        <a:stretch>
          <a:fillRect/>
        </a:stretch>
      </xdr:blipFill>
      <xdr:spPr>
        <a:xfrm>
          <a:off x="0" y="0"/>
          <a:ext cx="3276600" cy="3676015"/>
        </a:xfrm>
        <a:prstGeom prst="rect">
          <a:avLst/>
        </a:prstGeom>
      </xdr:spPr>
    </xdr:pic>
  </etc:cellImage>
  <etc:cellImage>
    <xdr:pic>
      <xdr:nvPicPr>
        <xdr:cNvPr id="33" name="ID_E84CE7BB617F4C8CA9717521DAD4A910" descr="512-04-9"/>
        <xdr:cNvPicPr/>
      </xdr:nvPicPr>
      <xdr:blipFill>
        <a:blip r:embed="rId27"/>
        <a:stretch>
          <a:fillRect/>
        </a:stretch>
      </xdr:blipFill>
      <xdr:spPr>
        <a:xfrm>
          <a:off x="0" y="0"/>
          <a:ext cx="4166870" cy="2429510"/>
        </a:xfrm>
        <a:prstGeom prst="rect">
          <a:avLst/>
        </a:prstGeom>
      </xdr:spPr>
    </xdr:pic>
  </etc:cellImage>
  <etc:cellImage>
    <xdr:pic>
      <xdr:nvPicPr>
        <xdr:cNvPr id="35" name="ID_BBB5D89F009047068EBFAA7A176A12BA" descr="83-46-5"/>
        <xdr:cNvPicPr/>
      </xdr:nvPicPr>
      <xdr:blipFill>
        <a:blip r:embed="rId28"/>
        <a:stretch>
          <a:fillRect/>
        </a:stretch>
      </xdr:blipFill>
      <xdr:spPr>
        <a:xfrm>
          <a:off x="0" y="0"/>
          <a:ext cx="4154805" cy="2593975"/>
        </a:xfrm>
        <a:prstGeom prst="rect">
          <a:avLst/>
        </a:prstGeom>
      </xdr:spPr>
    </xdr:pic>
  </etc:cellImage>
  <etc:cellImage>
    <xdr:pic>
      <xdr:nvPicPr>
        <xdr:cNvPr id="36" name="ID_7B4BC448DDE14A639302BF597E3152BF" descr="481-25-4"/>
        <xdr:cNvPicPr/>
      </xdr:nvPicPr>
      <xdr:blipFill>
        <a:blip r:embed="rId29"/>
        <a:stretch>
          <a:fillRect/>
        </a:stretch>
      </xdr:blipFill>
      <xdr:spPr>
        <a:xfrm>
          <a:off x="0" y="0"/>
          <a:ext cx="3959860" cy="3264535"/>
        </a:xfrm>
        <a:prstGeom prst="rect">
          <a:avLst/>
        </a:prstGeom>
      </xdr:spPr>
    </xdr:pic>
  </etc:cellImage>
  <etc:cellImage>
    <xdr:pic>
      <xdr:nvPicPr>
        <xdr:cNvPr id="37" name="ID_23932CBD7367436D852F31D98D6DF824" descr="474-62-4"/>
        <xdr:cNvPicPr/>
      </xdr:nvPicPr>
      <xdr:blipFill>
        <a:blip r:embed="rId30"/>
        <a:stretch>
          <a:fillRect/>
        </a:stretch>
      </xdr:blipFill>
      <xdr:spPr>
        <a:xfrm>
          <a:off x="0" y="0"/>
          <a:ext cx="4154805" cy="2399030"/>
        </a:xfrm>
        <a:prstGeom prst="rect">
          <a:avLst/>
        </a:prstGeom>
      </xdr:spPr>
    </xdr:pic>
  </etc:cellImage>
  <etc:cellImage>
    <xdr:pic>
      <xdr:nvPicPr>
        <xdr:cNvPr id="38" name="ID_952754360B604352B4B70E05C6F9F1D9" descr="474-58-8"/>
        <xdr:cNvPicPr/>
      </xdr:nvPicPr>
      <xdr:blipFill>
        <a:blip r:embed="rId31"/>
        <a:stretch>
          <a:fillRect/>
        </a:stretch>
      </xdr:blipFill>
      <xdr:spPr>
        <a:xfrm>
          <a:off x="0" y="0"/>
          <a:ext cx="5471160" cy="2974975"/>
        </a:xfrm>
        <a:prstGeom prst="rect">
          <a:avLst/>
        </a:prstGeom>
      </xdr:spPr>
    </xdr:pic>
  </etc:cellImage>
  <etc:cellImage>
    <xdr:pic>
      <xdr:nvPicPr>
        <xdr:cNvPr id="39" name="ID_02D32A29C83D4C63A47F24C109F3338C" descr="83-48-7"/>
        <xdr:cNvPicPr/>
      </xdr:nvPicPr>
      <xdr:blipFill>
        <a:blip r:embed="rId32"/>
        <a:stretch>
          <a:fillRect/>
        </a:stretch>
      </xdr:blipFill>
      <xdr:spPr>
        <a:xfrm>
          <a:off x="0" y="0"/>
          <a:ext cx="4154805" cy="2593975"/>
        </a:xfrm>
        <a:prstGeom prst="rect">
          <a:avLst/>
        </a:prstGeom>
      </xdr:spPr>
    </xdr:pic>
  </etc:cellImage>
  <etc:cellImage>
    <xdr:pic>
      <xdr:nvPicPr>
        <xdr:cNvPr id="40" name="ID_780AF48293F84BA0ADEE664A06F23303" descr="481-25-4 (1)"/>
        <xdr:cNvPicPr/>
      </xdr:nvPicPr>
      <xdr:blipFill>
        <a:blip r:embed="rId29"/>
        <a:stretch>
          <a:fillRect/>
        </a:stretch>
      </xdr:blipFill>
      <xdr:spPr>
        <a:xfrm>
          <a:off x="0" y="0"/>
          <a:ext cx="3959860" cy="3264535"/>
        </a:xfrm>
        <a:prstGeom prst="rect">
          <a:avLst/>
        </a:prstGeom>
      </xdr:spPr>
    </xdr:pic>
  </etc:cellImage>
  <etc:cellImage>
    <xdr:pic>
      <xdr:nvPicPr>
        <xdr:cNvPr id="41" name="ID_A465FE284676405098C04E0FE7EC93B4" descr="512-04-9"/>
        <xdr:cNvPicPr/>
      </xdr:nvPicPr>
      <xdr:blipFill>
        <a:blip r:embed="rId27"/>
        <a:stretch>
          <a:fillRect/>
        </a:stretch>
      </xdr:blipFill>
      <xdr:spPr>
        <a:xfrm>
          <a:off x="0" y="0"/>
          <a:ext cx="4166870" cy="2429510"/>
        </a:xfrm>
        <a:prstGeom prst="rect">
          <a:avLst/>
        </a:prstGeom>
      </xdr:spPr>
    </xdr:pic>
  </etc:cellImage>
  <etc:cellImage>
    <xdr:pic>
      <xdr:nvPicPr>
        <xdr:cNvPr id="42" name="ID_7E58D2CDF6C746F9A8D1811152C3F455" descr="537-42-8"/>
        <xdr:cNvPicPr/>
      </xdr:nvPicPr>
      <xdr:blipFill>
        <a:blip r:embed="rId33"/>
        <a:stretch>
          <a:fillRect/>
        </a:stretch>
      </xdr:blipFill>
      <xdr:spPr>
        <a:xfrm>
          <a:off x="0" y="0"/>
          <a:ext cx="3496310" cy="2021205"/>
        </a:xfrm>
        <a:prstGeom prst="rect">
          <a:avLst/>
        </a:prstGeom>
      </xdr:spPr>
    </xdr:pic>
  </etc:cellImage>
  <etc:cellImage>
    <xdr:pic>
      <xdr:nvPicPr>
        <xdr:cNvPr id="43" name="ID_9FE0CBD9751442DBB135FB5B84CB3F63" descr="21956-56-9"/>
        <xdr:cNvPicPr/>
      </xdr:nvPicPr>
      <xdr:blipFill>
        <a:blip r:embed="rId34"/>
        <a:stretch>
          <a:fillRect/>
        </a:stretch>
      </xdr:blipFill>
      <xdr:spPr>
        <a:xfrm>
          <a:off x="0" y="0"/>
          <a:ext cx="3032760" cy="1972310"/>
        </a:xfrm>
        <a:prstGeom prst="rect">
          <a:avLst/>
        </a:prstGeom>
      </xdr:spPr>
    </xdr:pic>
  </etc:cellImage>
  <etc:cellImage>
    <xdr:pic>
      <xdr:nvPicPr>
        <xdr:cNvPr id="44" name="ID_EB130E7E2652419AAD90D8063D969C30" descr="22139-77-1"/>
        <xdr:cNvPicPr/>
      </xdr:nvPicPr>
      <xdr:blipFill>
        <a:blip r:embed="rId35"/>
        <a:stretch>
          <a:fillRect/>
        </a:stretch>
      </xdr:blipFill>
      <xdr:spPr>
        <a:xfrm>
          <a:off x="0" y="0"/>
          <a:ext cx="2844165" cy="1826260"/>
        </a:xfrm>
        <a:prstGeom prst="rect">
          <a:avLst/>
        </a:prstGeom>
      </xdr:spPr>
    </xdr:pic>
  </etc:cellImage>
  <etc:cellImage>
    <xdr:pic>
      <xdr:nvPicPr>
        <xdr:cNvPr id="45" name="ID_0DD49BD79438474EB7559E48016E0B3E" descr="537-42-8 (1)"/>
        <xdr:cNvPicPr/>
      </xdr:nvPicPr>
      <xdr:blipFill>
        <a:blip r:embed="rId36"/>
        <a:stretch>
          <a:fillRect/>
        </a:stretch>
      </xdr:blipFill>
      <xdr:spPr>
        <a:xfrm>
          <a:off x="0" y="0"/>
          <a:ext cx="3496310" cy="2021205"/>
        </a:xfrm>
        <a:prstGeom prst="rect">
          <a:avLst/>
        </a:prstGeom>
      </xdr:spPr>
    </xdr:pic>
  </etc:cellImage>
  <etc:cellImage>
    <xdr:pic>
      <xdr:nvPicPr>
        <xdr:cNvPr id="46" name="ID_7ED41CA372F44D39B889F7BB8DABF167" descr="118916-57-7"/>
        <xdr:cNvPicPr/>
      </xdr:nvPicPr>
      <xdr:blipFill>
        <a:blip r:embed="rId37"/>
        <a:stretch>
          <a:fillRect/>
        </a:stretch>
      </xdr:blipFill>
      <xdr:spPr>
        <a:xfrm>
          <a:off x="0" y="0"/>
          <a:ext cx="4325620" cy="1819910"/>
        </a:xfrm>
        <a:prstGeom prst="rect">
          <a:avLst/>
        </a:prstGeom>
      </xdr:spPr>
    </xdr:pic>
  </etc:cellImage>
  <etc:cellImage>
    <xdr:pic>
      <xdr:nvPicPr>
        <xdr:cNvPr id="47" name="ID_0BBD5BD1967343D1976902D62451CF48" descr="89-84-9"/>
        <xdr:cNvPicPr/>
      </xdr:nvPicPr>
      <xdr:blipFill>
        <a:blip r:embed="rId38"/>
        <a:stretch>
          <a:fillRect/>
        </a:stretch>
      </xdr:blipFill>
      <xdr:spPr>
        <a:xfrm>
          <a:off x="0" y="0"/>
          <a:ext cx="1850390" cy="1304925"/>
        </a:xfrm>
        <a:prstGeom prst="rect">
          <a:avLst/>
        </a:prstGeom>
      </xdr:spPr>
    </xdr:pic>
  </etc:cellImage>
  <etc:cellImage>
    <xdr:pic>
      <xdr:nvPicPr>
        <xdr:cNvPr id="48" name="ID_41C8941E163E4D21890FAF99DEBA6D84" descr="501-36-0"/>
        <xdr:cNvPicPr/>
      </xdr:nvPicPr>
      <xdr:blipFill>
        <a:blip r:embed="rId39"/>
        <a:stretch>
          <a:fillRect/>
        </a:stretch>
      </xdr:blipFill>
      <xdr:spPr>
        <a:xfrm>
          <a:off x="0" y="0"/>
          <a:ext cx="3307080" cy="1874520"/>
        </a:xfrm>
        <a:prstGeom prst="rect">
          <a:avLst/>
        </a:prstGeom>
      </xdr:spPr>
    </xdr:pic>
  </etc:cellImage>
  <etc:cellImage>
    <xdr:pic>
      <xdr:nvPicPr>
        <xdr:cNvPr id="49" name="ID_D9065B693CE448B5B4181A5F9779DB0F" descr="91-64-5"/>
        <xdr:cNvPicPr/>
      </xdr:nvPicPr>
      <xdr:blipFill>
        <a:blip r:embed="rId40"/>
        <a:stretch>
          <a:fillRect/>
        </a:stretch>
      </xdr:blipFill>
      <xdr:spPr>
        <a:xfrm>
          <a:off x="0" y="0"/>
          <a:ext cx="1758950" cy="883920"/>
        </a:xfrm>
        <a:prstGeom prst="rect">
          <a:avLst/>
        </a:prstGeom>
      </xdr:spPr>
    </xdr:pic>
  </etc:cellImage>
  <etc:cellImage>
    <xdr:pic>
      <xdr:nvPicPr>
        <xdr:cNvPr id="50" name="ID_2AD096BC430F43C2A473B474658445CA" descr="642-71-7"/>
        <xdr:cNvPicPr/>
      </xdr:nvPicPr>
      <xdr:blipFill>
        <a:blip r:embed="rId41"/>
        <a:stretch>
          <a:fillRect/>
        </a:stretch>
      </xdr:blipFill>
      <xdr:spPr>
        <a:xfrm>
          <a:off x="0" y="0"/>
          <a:ext cx="1850390" cy="1445260"/>
        </a:xfrm>
        <a:prstGeom prst="rect">
          <a:avLst/>
        </a:prstGeom>
      </xdr:spPr>
    </xdr:pic>
  </etc:cellImage>
  <etc:cellImage>
    <xdr:pic>
      <xdr:nvPicPr>
        <xdr:cNvPr id="51" name="ID_A1F274030CDD479D83706A29C68D7E2D" descr="139-85-5"/>
        <xdr:cNvPicPr/>
      </xdr:nvPicPr>
      <xdr:blipFill>
        <a:blip r:embed="rId42"/>
        <a:stretch>
          <a:fillRect/>
        </a:stretch>
      </xdr:blipFill>
      <xdr:spPr>
        <a:xfrm>
          <a:off x="0" y="0"/>
          <a:ext cx="1880870" cy="927100"/>
        </a:xfrm>
        <a:prstGeom prst="rect">
          <a:avLst/>
        </a:prstGeom>
      </xdr:spPr>
    </xdr:pic>
  </etc:cellImage>
  <etc:cellImage>
    <xdr:pic>
      <xdr:nvPicPr>
        <xdr:cNvPr id="52" name="ID_DFA6FAEF1C054D7FBFBA2C87484B5AE0" descr="956103-79-0"/>
        <xdr:cNvPicPr/>
      </xdr:nvPicPr>
      <xdr:blipFill>
        <a:blip r:embed="rId43"/>
        <a:stretch>
          <a:fillRect/>
        </a:stretch>
      </xdr:blipFill>
      <xdr:spPr>
        <a:xfrm>
          <a:off x="0" y="0"/>
          <a:ext cx="4160520" cy="39141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<sst xmlns="http://schemas.openxmlformats.org/spreadsheetml/2006/main" count="513" uniqueCount="269">
  <si>
    <t>编号</t>
  </si>
  <si>
    <t>化合物名称</t>
  </si>
  <si>
    <t>英文名称</t>
  </si>
  <si>
    <r>
      <rPr>
        <sz val="11"/>
        <color theme="1"/>
        <rFont val="Times New Roman"/>
        <charset val="134"/>
      </rPr>
      <t>CAS</t>
    </r>
    <r>
      <rPr>
        <sz val="11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</si>
  <si>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分子量</t>
    </r>
  </si>
  <si>
    <t>分子式</t>
  </si>
  <si>
    <r>
      <rPr>
        <sz val="11"/>
        <color theme="1"/>
        <rFont val="Times New Roman"/>
        <charset val="134"/>
      </rPr>
      <t>2D</t>
    </r>
    <r>
      <rPr>
        <sz val="11"/>
        <color theme="1"/>
        <rFont val="宋体"/>
        <charset val="134"/>
      </rPr>
      <t>图</t>
    </r>
  </si>
  <si>
    <t>化合物分类</t>
  </si>
  <si>
    <t>smiles</t>
  </si>
  <si>
    <t>inchi</t>
  </si>
  <si>
    <t>inchikey</t>
  </si>
  <si>
    <t>药材名称</t>
  </si>
  <si>
    <t>001</t>
  </si>
  <si>
    <r>
      <rPr>
        <sz val="11"/>
        <color theme="1"/>
        <rFont val="宋体"/>
        <charset val="134"/>
        <scheme val="minor"/>
      </rPr>
      <t>龙血素</t>
    </r>
    <r>
      <rPr>
        <sz val="11"/>
        <color theme="1"/>
        <rFont val="Times New Roman"/>
        <charset val="134"/>
      </rPr>
      <t>A</t>
    </r>
  </si>
  <si>
    <t>Loureirin A</t>
  </si>
  <si>
    <t>119425-89-7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</si>
  <si>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</si>
  <si>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黄酮类</t>
  </si>
  <si>
    <t>CC(C)=CC(=O)C=C(C)C1=C(C)C=C(O)C=C1</t>
  </si>
  <si>
    <t>InChI=1S/C15H18O2/c1-10(2)7-14(16)8-11(3)12-5-6-13(4)15(12)17-9-14/h5-9H,1-4H3</t>
  </si>
  <si>
    <t>龙血竭</t>
  </si>
  <si>
    <t>002</t>
  </si>
  <si>
    <r>
      <rPr>
        <sz val="11"/>
        <color theme="1"/>
        <rFont val="宋体"/>
        <charset val="134"/>
        <scheme val="minor"/>
      </rPr>
      <t>龙血素</t>
    </r>
    <r>
      <rPr>
        <sz val="11"/>
        <color theme="1"/>
        <rFont val="Times New Roman"/>
        <charset val="134"/>
      </rPr>
      <t>B</t>
    </r>
  </si>
  <si>
    <t>Loureirin B</t>
  </si>
  <si>
    <t>119425-90-0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</si>
  <si>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</si>
  <si>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CC(C)=CC(=O)C=C(C)C1=CC=C(O)C(C)=C1</t>
  </si>
  <si>
    <t>InChI=1S/C15H18O2/c1-10(2)7-14(16)8-11(3)12-5-6-13(4)17-15(12)9-14/h5-9,17H,1-4H3</t>
  </si>
  <si>
    <t>003</t>
  </si>
  <si>
    <r>
      <rPr>
        <sz val="11"/>
        <color theme="1"/>
        <rFont val="宋体"/>
        <charset val="134"/>
        <scheme val="minor"/>
      </rPr>
      <t>龙血素</t>
    </r>
    <r>
      <rPr>
        <sz val="11"/>
        <color theme="1"/>
        <rFont val="Times New Roman"/>
        <charset val="134"/>
      </rPr>
      <t>C</t>
    </r>
  </si>
  <si>
    <t>Loureirin C</t>
  </si>
  <si>
    <t>116384-24-8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</si>
  <si>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</si>
  <si>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CC(C)=CC(=O)C=C(C)C1=CC=C(O)C=C1</t>
  </si>
  <si>
    <t>004</t>
  </si>
  <si>
    <r>
      <rPr>
        <sz val="11"/>
        <color theme="1"/>
        <rFont val="宋体"/>
        <charset val="134"/>
        <scheme val="minor"/>
      </rPr>
      <t>龙血素</t>
    </r>
    <r>
      <rPr>
        <sz val="11"/>
        <color theme="1"/>
        <rFont val="Times New Roman"/>
        <charset val="134"/>
      </rPr>
      <t>D</t>
    </r>
  </si>
  <si>
    <t>Loureirin D</t>
  </si>
  <si>
    <t>119425-91-1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</si>
  <si>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</si>
  <si>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CC(C)=CC(=O)C=C(C)C1=CC=C(O)C=C1C</t>
  </si>
  <si>
    <t>InChI=1S/C16H20O2/c1-11(2)7-15(17)9-12(3)13-5-6-14(4)18-16(13)8-15/h5-8H,1-4H3</t>
  </si>
  <si>
    <t>005</t>
  </si>
  <si>
    <r>
      <rPr>
        <sz val="11"/>
        <color theme="1"/>
        <rFont val="Times New Roman"/>
        <charset val="134"/>
      </rPr>
      <t>4,4'</t>
    </r>
    <r>
      <rPr>
        <sz val="11"/>
        <color theme="1"/>
        <rFont val="宋体"/>
        <charset val="134"/>
        <scheme val="minor"/>
      </rPr>
      <t>-二羟基-</t>
    </r>
    <r>
      <rPr>
        <sz val="11"/>
        <color theme="1"/>
        <rFont val="Times New Roman"/>
        <charset val="134"/>
      </rPr>
      <t>2,6</t>
    </r>
    <r>
      <rPr>
        <sz val="11"/>
        <color theme="1"/>
        <rFont val="宋体"/>
        <charset val="134"/>
        <scheme val="minor"/>
      </rPr>
      <t>-二甲氧基二氢查尔酮</t>
    </r>
  </si>
  <si>
    <t>151752-08-8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</si>
  <si>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</si>
  <si>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COC1=CC=C(/C=C/C(=O)CC(=O)/C=C/C2=CC=C(O)C=C2)C=C1</t>
  </si>
  <si>
    <t>InChI=1S/C21H20O4/c1-25-20-11-14(5-9-18(20)22)3-7-16(23)13-17(24)8-4-15-6-10-19(21)12-15/h3-12,22H,13H2,1H3/b7-3+,8-4+</t>
  </si>
  <si>
    <t>006</t>
  </si>
  <si>
    <r>
      <rPr>
        <sz val="11"/>
        <color theme="1"/>
        <rFont val="宋体"/>
        <charset val="134"/>
        <scheme val="minor"/>
      </rPr>
      <t>剑叶龙血素</t>
    </r>
    <r>
      <rPr>
        <sz val="11"/>
        <color theme="1"/>
        <rFont val="Times New Roman"/>
        <charset val="134"/>
      </rPr>
      <t>Ⅰ</t>
    </r>
  </si>
  <si>
    <t>cochinchinenin A</t>
  </si>
  <si>
    <t>221696-69-1</t>
  </si>
  <si>
    <t>COC1=CC=C(/C=C/C(=O)CC(=O)/C=C/C2=CC=C(O)C(OC)=C2)C=C1</t>
  </si>
  <si>
    <t>InChI=1S/C22H22O5/c1-27-21-13-16(7-11-20(21)25)5-9-18(23)15-19(24)10-6-17-8-12-22(26)14-17/h5-14,25H,15H2,1-2H3/b9-5+,10-6+</t>
  </si>
  <si>
    <t>007</t>
  </si>
  <si>
    <r>
      <rPr>
        <sz val="11"/>
        <color theme="1"/>
        <rFont val="Times New Roman"/>
        <charset val="134"/>
      </rPr>
      <t>4,4'</t>
    </r>
    <r>
      <rPr>
        <sz val="11"/>
        <color theme="1"/>
        <rFont val="宋体"/>
        <charset val="134"/>
        <scheme val="minor"/>
      </rPr>
      <t>-二羟基-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  <scheme val="minor"/>
      </rPr>
      <t>'-甲氧基查耳酮</t>
    </r>
  </si>
  <si>
    <t>2'-O-Methylisoliquiritigenin</t>
  </si>
  <si>
    <t>51828-10-5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</si>
  <si>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</si>
  <si>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COC1=CC=C(/C=C/C(=O)CC(=O)/C=C/C2=CC=C(O)C=C2)C=C1OC</t>
  </si>
  <si>
    <t>008</t>
  </si>
  <si>
    <r>
      <rPr>
        <sz val="11"/>
        <color theme="1"/>
        <rFont val="Times New Roman"/>
        <charset val="134"/>
      </rPr>
      <t>4,2',4'</t>
    </r>
    <r>
      <rPr>
        <sz val="11"/>
        <color theme="1"/>
        <rFont val="宋体"/>
        <charset val="134"/>
        <scheme val="minor"/>
      </rPr>
      <t>-三羟基查耳酮</t>
    </r>
  </si>
  <si>
    <t xml:space="preserve"> isoliquiritigenin</t>
  </si>
  <si>
    <t xml:space="preserve"> 961-29-5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</si>
  <si>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</si>
  <si>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961-29-5</t>
  </si>
  <si>
    <t>009</t>
  </si>
  <si>
    <t>苏木查尔酮</t>
  </si>
  <si>
    <t>sappanchalcone</t>
  </si>
  <si>
    <t>94344-54-4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</si>
  <si>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</si>
  <si>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010</t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</si>
  <si>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  <scheme val="minor"/>
      </rPr>
      <t>-去氧苏木查尔酮</t>
    </r>
  </si>
  <si>
    <t>3-deoxysappanchalcone</t>
  </si>
  <si>
    <t>112408-67-0</t>
  </si>
  <si>
    <t>011</t>
  </si>
  <si>
    <r>
      <rPr>
        <sz val="11"/>
        <color theme="1"/>
        <rFont val="Times New Roman"/>
        <charset val="134"/>
      </rPr>
      <t>3,2',4</t>
    </r>
    <r>
      <rPr>
        <sz val="11"/>
        <color theme="1"/>
        <rFont val="宋体"/>
        <charset val="134"/>
        <scheme val="minor"/>
      </rPr>
      <t>'-三羟基-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  <scheme val="minor"/>
      </rPr>
      <t>-甲氧基-查耳酮</t>
    </r>
  </si>
  <si>
    <t>4-O-methylbutein</t>
  </si>
  <si>
    <t>13323-67-6</t>
  </si>
  <si>
    <t>012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</si>
  <si>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2S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-7,3'</t>
    </r>
    <r>
      <rPr>
        <sz val="11"/>
        <color theme="1"/>
        <rFont val="宋体"/>
        <charset val="134"/>
        <scheme val="minor"/>
      </rPr>
      <t>-二羟基-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  <scheme val="minor"/>
      </rPr>
      <t>'-甲氧基黄烷</t>
    </r>
  </si>
  <si>
    <t>7,3'-Dihydroxy-4'-Methoxyflavan</t>
  </si>
  <si>
    <t>162290-05-3</t>
  </si>
  <si>
    <t>013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</si>
  <si>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2S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-7,4'</t>
    </r>
    <r>
      <rPr>
        <sz val="11"/>
        <color theme="1"/>
        <rFont val="宋体"/>
        <charset val="134"/>
        <scheme val="minor"/>
      </rPr>
      <t>-二羟基-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  <scheme val="minor"/>
      </rPr>
      <t>-甲基黄烷</t>
    </r>
  </si>
  <si>
    <t>7,4'-Dihydroxy-8-methylflavan</t>
  </si>
  <si>
    <t>82925-55-1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</si>
  <si>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</si>
  <si>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014</t>
  </si>
  <si>
    <r>
      <rPr>
        <sz val="11"/>
        <color theme="1"/>
        <rFont val="Times New Roman"/>
        <charset val="134"/>
      </rPr>
      <t>7,4'</t>
    </r>
    <r>
      <rPr>
        <sz val="11"/>
        <color theme="1"/>
        <rFont val="宋体"/>
        <charset val="134"/>
        <scheme val="minor"/>
      </rPr>
      <t>-二羟基黄酮</t>
    </r>
  </si>
  <si>
    <t>7-Hydroxy-2-(4-hydroxyphenyl)-4H-chromen-4-one</t>
  </si>
  <si>
    <t>2196-14-7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</si>
  <si>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</si>
  <si>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015</t>
  </si>
  <si>
    <r>
      <rPr>
        <sz val="11"/>
        <color theme="1"/>
        <rFont val="Times New Roman"/>
        <charset val="134"/>
      </rPr>
      <t>7,4'</t>
    </r>
    <r>
      <rPr>
        <sz val="11"/>
        <color theme="1"/>
        <rFont val="宋体"/>
        <charset val="134"/>
        <scheme val="minor"/>
      </rPr>
      <t>-二羟基-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  <scheme val="minor"/>
      </rPr>
      <t>-甲基黄烷</t>
    </r>
  </si>
  <si>
    <t>7,4'-dihydroxy-8-methylflavan</t>
  </si>
  <si>
    <t>74474-60-5</t>
  </si>
  <si>
    <t>016</t>
  </si>
  <si>
    <r>
      <rPr>
        <sz val="11"/>
        <color theme="1"/>
        <rFont val="Times New Roman"/>
        <charset val="134"/>
      </rPr>
      <t>7,4'</t>
    </r>
    <r>
      <rPr>
        <sz val="11"/>
        <color theme="1"/>
        <rFont val="宋体"/>
        <charset val="134"/>
        <scheme val="minor"/>
      </rPr>
      <t>-二羟基高异黄烷</t>
    </r>
  </si>
  <si>
    <t>7,4'-Dihydroxyhomoisoflavane</t>
  </si>
  <si>
    <t>148462-00-4</t>
  </si>
  <si>
    <t>017</t>
  </si>
  <si>
    <r>
      <rPr>
        <sz val="11"/>
        <color theme="1"/>
        <rFont val="Times New Roman"/>
        <charset val="134"/>
      </rPr>
      <t>5,4'</t>
    </r>
    <r>
      <rPr>
        <sz val="11"/>
        <color theme="1"/>
        <rFont val="宋体"/>
        <charset val="134"/>
        <scheme val="minor"/>
      </rPr>
      <t>-二羟基</t>
    </r>
    <r>
      <rPr>
        <sz val="11"/>
        <color theme="1"/>
        <rFont val="Times New Roman"/>
        <charset val="134"/>
      </rPr>
      <t>-7</t>
    </r>
    <r>
      <rPr>
        <sz val="11"/>
        <color theme="1"/>
        <rFont val="宋体"/>
        <charset val="134"/>
        <scheme val="minor"/>
      </rPr>
      <t>-甲氧基-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  <scheme val="minor"/>
      </rPr>
      <t>-甲基黄烷</t>
    </r>
  </si>
  <si>
    <t xml:space="preserve">5,4'-Dihydroxy-6-methyl-7-methoxyflavanone
</t>
  </si>
  <si>
    <t>206560-99-8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</si>
  <si>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</si>
  <si>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018</t>
  </si>
  <si>
    <r>
      <rPr>
        <sz val="11"/>
        <color theme="1"/>
        <rFont val="Times New Roman"/>
        <charset val="134"/>
      </rPr>
      <t>7,3'</t>
    </r>
    <r>
      <rPr>
        <sz val="11"/>
        <color theme="1"/>
        <rFont val="宋体"/>
        <charset val="134"/>
        <scheme val="minor"/>
      </rPr>
      <t>-二羟基-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  <scheme val="minor"/>
      </rPr>
      <t>'-甲氧基黄烷</t>
    </r>
  </si>
  <si>
    <t>COC1=C(C=C(C=C1)C2CCC3=C(O2)C=C(C=C3)O)O</t>
  </si>
  <si>
    <t>InChI=1S/C16H16O4/c1-19-15-7-4-11(8-13(15)18)14-6-3-10-2-5-12(17)9-16(10)20-14/h2,4-5,7-9,14,17-18H,3,6H2,1H3/t14-/m0/s1</t>
  </si>
  <si>
    <t>019</t>
  </si>
  <si>
    <r>
      <rPr>
        <sz val="11"/>
        <color theme="1"/>
        <rFont val="Times New Roman"/>
        <charset val="134"/>
      </rPr>
      <t>4,7-</t>
    </r>
    <r>
      <rPr>
        <sz val="11"/>
        <color theme="1"/>
        <rFont val="宋体"/>
        <charset val="134"/>
        <scheme val="minor"/>
      </rPr>
      <t>二羟基-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  <scheme val="minor"/>
      </rPr>
      <t>-甲氧基黄烷</t>
    </r>
  </si>
  <si>
    <t>7,4-Dihydroxy-3-methoxyflavan</t>
  </si>
  <si>
    <t>020</t>
  </si>
  <si>
    <r>
      <rPr>
        <sz val="11"/>
        <color theme="1"/>
        <rFont val="Times New Roman"/>
        <charset val="134"/>
      </rPr>
      <t>4',7</t>
    </r>
    <r>
      <rPr>
        <sz val="11"/>
        <color theme="1"/>
        <rFont val="宋体"/>
        <charset val="134"/>
        <scheme val="minor"/>
      </rPr>
      <t>-二羟基黄烷</t>
    </r>
  </si>
  <si>
    <t xml:space="preserve">7,4'-dihydroxyflavone  </t>
  </si>
  <si>
    <t>021</t>
  </si>
  <si>
    <r>
      <rPr>
        <sz val="11"/>
        <color theme="1"/>
        <rFont val="Times New Roman"/>
        <charset val="134"/>
      </rPr>
      <t>7,4</t>
    </r>
    <r>
      <rPr>
        <sz val="11"/>
        <color theme="1"/>
        <rFont val="宋体"/>
        <charset val="134"/>
        <scheme val="minor"/>
      </rPr>
      <t>'-二羟基二氢黄酮(甘草素）</t>
    </r>
  </si>
  <si>
    <t xml:space="preserve"> liquiritigenin</t>
  </si>
  <si>
    <t>578-86-9</t>
  </si>
  <si>
    <t>022</t>
  </si>
  <si>
    <r>
      <rPr>
        <sz val="11"/>
        <color theme="1"/>
        <rFont val="Times New Roman"/>
        <charset val="134"/>
      </rPr>
      <t>5,7,4'</t>
    </r>
    <r>
      <rPr>
        <sz val="11"/>
        <color theme="1"/>
        <rFont val="宋体"/>
        <charset val="134"/>
        <scheme val="minor"/>
      </rPr>
      <t>-三羟基二氢黄酮</t>
    </r>
  </si>
  <si>
    <t>naringenin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</si>
  <si>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</si>
  <si>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r>
      <t>C1[C@H](OC2=CC(=CC(=C2C1=O)O)O)C3=CC=C(C=C3)O</t>
    </r>
    <r>
      <rPr>
        <sz val="10.5"/>
        <color rgb="FF212121"/>
        <rFont val="Segoe UI"/>
        <charset val="134"/>
      </rPr>
      <t>  </t>
    </r>
  </si>
  <si>
    <r>
      <t>InChI=1S/C15H12O5/c16-9-3-1-8(2-4-9)13-7-12(19)15-11(18)5-10(17)6-14(15)20-13/h1-6,13,16-18H,7H2/t13-/m0/s1</t>
    </r>
    <r>
      <rPr>
        <sz val="10.5"/>
        <color rgb="FF212121"/>
        <rFont val="Segoe UI"/>
        <charset val="134"/>
      </rPr>
      <t> </t>
    </r>
  </si>
  <si>
    <t>023</t>
  </si>
  <si>
    <r>
      <rPr>
        <sz val="11"/>
        <color theme="1"/>
        <rFont val="宋体"/>
        <charset val="134"/>
        <scheme val="minor"/>
      </rPr>
      <t>熊竹素</t>
    </r>
    <r>
      <rPr>
        <sz val="11"/>
        <color theme="1"/>
        <rFont val="Times New Roman"/>
        <charset val="134"/>
      </rPr>
      <t>B</t>
    </r>
  </si>
  <si>
    <t>Kumatakenin</t>
  </si>
  <si>
    <t>3301-49-3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</si>
  <si>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</si>
  <si>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024</t>
  </si>
  <si>
    <r>
      <rPr>
        <sz val="11"/>
        <color theme="1"/>
        <rFont val="Times New Roman"/>
        <charset val="134"/>
      </rPr>
      <t>7.4</t>
    </r>
    <r>
      <rPr>
        <sz val="11"/>
        <color theme="1"/>
        <rFont val="宋体"/>
        <charset val="134"/>
        <scheme val="minor"/>
      </rPr>
      <t>'-二羟基高异黄烷</t>
    </r>
  </si>
  <si>
    <t xml:space="preserve"> 7,4'-Dihydroxyhomoisoflavane</t>
  </si>
  <si>
    <t>025</t>
  </si>
  <si>
    <r>
      <rPr>
        <sz val="11"/>
        <color theme="1"/>
        <rFont val="Times New Roman"/>
        <charset val="134"/>
      </rPr>
      <t>4',5,7</t>
    </r>
    <r>
      <rPr>
        <sz val="11"/>
        <color theme="1"/>
        <rFont val="宋体"/>
        <charset val="134"/>
        <scheme val="minor"/>
      </rPr>
      <t>-三羟基黄酮</t>
    </r>
  </si>
  <si>
    <t>Apigenin</t>
  </si>
  <si>
    <t>520-36-5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</si>
  <si>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</si>
  <si>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026</t>
  </si>
  <si>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  <scheme val="minor"/>
      </rPr>
      <t>-羟基黄酮</t>
    </r>
  </si>
  <si>
    <t>analytical standard</t>
  </si>
  <si>
    <t>6665-86-7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</si>
  <si>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</si>
  <si>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027</t>
  </si>
  <si>
    <r>
      <rPr>
        <sz val="11"/>
        <color theme="1"/>
        <rFont val="Times New Roman"/>
        <charset val="134"/>
      </rPr>
      <t>4,7</t>
    </r>
    <r>
      <rPr>
        <sz val="11"/>
        <color theme="1"/>
        <rFont val="宋体"/>
        <charset val="134"/>
        <scheme val="minor"/>
      </rPr>
      <t>-二羟基高异黄酮</t>
    </r>
  </si>
  <si>
    <t xml:space="preserve">7,4-dihydroxyisoflavone </t>
  </si>
  <si>
    <t>552-66-9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</si>
  <si>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</si>
  <si>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028</t>
  </si>
  <si>
    <t>丁香脂</t>
  </si>
  <si>
    <t>syringaresinol</t>
  </si>
  <si>
    <t>1177-14-6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</si>
  <si>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8</t>
    </r>
  </si>
  <si>
    <t>苯丙素类</t>
  </si>
  <si>
    <t>029</t>
  </si>
  <si>
    <t>松脂醇</t>
  </si>
  <si>
    <t>terpineols</t>
  </si>
  <si>
    <t>8006-39-1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</si>
  <si>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</si>
  <si>
    <t>030</t>
  </si>
  <si>
    <t>丁香树脂醇</t>
  </si>
  <si>
    <t>Syringaresinol</t>
  </si>
  <si>
    <t>031</t>
  </si>
  <si>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  <scheme val="minor"/>
      </rPr>
      <t>'-甲氧基松脂素</t>
    </r>
  </si>
  <si>
    <t>medioresinol</t>
  </si>
  <si>
    <t>74465-40-0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</si>
  <si>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7</t>
    </r>
  </si>
  <si>
    <t>032</t>
  </si>
  <si>
    <r>
      <rPr>
        <sz val="11"/>
        <color theme="1"/>
        <rFont val="Times New Roman"/>
        <charset val="134"/>
      </rPr>
      <t>(25R)</t>
    </r>
    <r>
      <rPr>
        <sz val="11"/>
        <color theme="1"/>
        <rFont val="宋体"/>
        <charset val="134"/>
        <scheme val="minor"/>
      </rPr>
      <t>-螺甾-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  <scheme val="minor"/>
      </rPr>
      <t>-烯-</t>
    </r>
    <r>
      <rPr>
        <sz val="11"/>
        <color theme="1"/>
        <rFont val="Times New Roman"/>
        <charset val="134"/>
      </rPr>
      <t>3β</t>
    </r>
    <r>
      <rPr>
        <sz val="11"/>
        <color theme="1"/>
        <rFont val="宋体"/>
        <charset val="134"/>
        <scheme val="minor"/>
      </rPr>
      <t>-醇</t>
    </r>
  </si>
  <si>
    <t>Diosgenin</t>
  </si>
  <si>
    <t>512-04-9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</si>
  <si>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</si>
  <si>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甾体类</t>
  </si>
  <si>
    <t>033</t>
  </si>
  <si>
    <r>
      <rPr>
        <sz val="11"/>
        <color theme="1"/>
        <rFont val="Times New Roman"/>
        <charset val="134"/>
      </rPr>
      <t>β</t>
    </r>
    <r>
      <rPr>
        <sz val="11"/>
        <color theme="1"/>
        <rFont val="宋体"/>
        <charset val="134"/>
        <scheme val="minor"/>
      </rPr>
      <t>-谷甾醇</t>
    </r>
  </si>
  <si>
    <t>Beta-Sitosterol</t>
  </si>
  <si>
    <t>83-46-5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</si>
  <si>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O</t>
    </r>
  </si>
  <si>
    <t>034</t>
  </si>
  <si>
    <r>
      <rPr>
        <sz val="11"/>
        <color theme="1"/>
        <rFont val="Times New Roman"/>
        <charset val="134"/>
      </rPr>
      <t>4α</t>
    </r>
    <r>
      <rPr>
        <sz val="11"/>
        <color theme="1"/>
        <rFont val="宋体"/>
        <charset val="134"/>
        <scheme val="minor"/>
      </rPr>
      <t>-甲基胆甾-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  <scheme val="minor"/>
      </rPr>
      <t>-烯-</t>
    </r>
    <r>
      <rPr>
        <sz val="11"/>
        <color theme="1"/>
        <rFont val="Times New Roman"/>
        <charset val="134"/>
      </rPr>
      <t>3β</t>
    </r>
    <r>
      <rPr>
        <sz val="11"/>
        <color theme="1"/>
        <rFont val="宋体"/>
        <charset val="134"/>
        <scheme val="minor"/>
      </rPr>
      <t>-醇</t>
    </r>
  </si>
  <si>
    <t>Methost-7-enol</t>
  </si>
  <si>
    <t>481-25-4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</si>
  <si>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</si>
  <si>
    <t>035</t>
  </si>
  <si>
    <t>菜油甾醇</t>
  </si>
  <si>
    <t>Campesterin</t>
  </si>
  <si>
    <t>474-62-4</t>
  </si>
  <si>
    <t>036</t>
  </si>
  <si>
    <t>胡萝卜苷</t>
  </si>
  <si>
    <t>eleutheroside A</t>
  </si>
  <si>
    <t>474-58-8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</si>
  <si>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</si>
  <si>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037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</si>
  <si>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20S,22R,25R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-spirost-1α,3β-dihydroxy-5-ene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</si>
  <si>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</si>
  <si>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038</t>
  </si>
  <si>
    <t>豆甾醇</t>
  </si>
  <si>
    <t>Stigmasterol</t>
  </si>
  <si>
    <t>83-48-7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</si>
  <si>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</si>
  <si>
    <t>CC(C)C1CCC2C1(C)C(O)CCC2(C)O</t>
  </si>
  <si>
    <t>InChI=1S/C15H28O2/c1-10(2)13-7-8-14-15(6-9-12(3,4)11(13)14)5-10(16)17-15/h10-11,13-16H,5-9H2,1-4H3/t10-,11+,13-,14+,15-/m1/s1</t>
  </si>
  <si>
    <t>039</t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</si>
  <si>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  <scheme val="minor"/>
      </rPr>
      <t>-甲基-胆甾-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  <scheme val="minor"/>
      </rPr>
      <t>-烯-</t>
    </r>
    <r>
      <rPr>
        <sz val="11"/>
        <color theme="1"/>
        <rFont val="Times New Roman"/>
        <charset val="134"/>
      </rPr>
      <t>3β</t>
    </r>
    <r>
      <rPr>
        <sz val="11"/>
        <color theme="1"/>
        <rFont val="宋体"/>
        <charset val="134"/>
        <scheme val="minor"/>
      </rPr>
      <t>-醇</t>
    </r>
  </si>
  <si>
    <t>040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</si>
  <si>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25R</t>
    </r>
    <r>
      <rPr>
        <sz val="11"/>
        <color theme="1"/>
        <rFont val="宋体"/>
        <charset val="134"/>
      </rPr>
      <t>）</t>
    </r>
    <r>
      <rPr>
        <sz val="11"/>
        <color theme="1"/>
        <rFont val="宋体"/>
        <charset val="134"/>
        <scheme val="minor"/>
      </rPr>
      <t>-薯蓣皂苷元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</si>
  <si>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</si>
  <si>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041</t>
  </si>
  <si>
    <t>紫檀芪</t>
  </si>
  <si>
    <t>Pterostilbene</t>
  </si>
  <si>
    <t>537-42-8</t>
  </si>
  <si>
    <t>其他类</t>
  </si>
  <si>
    <t>OC1=CC=C(C=C1)C=CC(=O)CC(=O)C=C(C)C</t>
  </si>
  <si>
    <t>InChI=1S/C15H16O3/c1-11(2)7-14(16)9-12(3)13-5-6-15(17)10-4-8-13/h4-10,17H,1-3H3/b9-7+,10-8+</t>
  </si>
  <si>
    <t>042</t>
  </si>
  <si>
    <r>
      <rPr>
        <sz val="11"/>
        <color theme="1"/>
        <rFont val="Times New Roman"/>
        <charset val="134"/>
      </rPr>
      <t>3,5</t>
    </r>
    <r>
      <rPr>
        <sz val="11"/>
        <color theme="1"/>
        <rFont val="宋体"/>
        <charset val="134"/>
        <scheme val="minor"/>
      </rPr>
      <t>-二甲氧基二苯乙烯</t>
    </r>
  </si>
  <si>
    <t>3,5-dimethoxystilbene</t>
  </si>
  <si>
    <t>21956-56-9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</si>
  <si>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</si>
  <si>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InChI=1S/C15H18O2/c1-10(2)7-14(16)8-11(3)12-5-6-13(4)17-15(12)9-14/h5-9H,1-4H3</t>
  </si>
  <si>
    <t>043</t>
  </si>
  <si>
    <r>
      <rPr>
        <sz val="11"/>
        <color theme="1"/>
        <rFont val="Times New Roman"/>
        <charset val="134"/>
      </rPr>
      <t>3,5</t>
    </r>
    <r>
      <rPr>
        <sz val="11"/>
        <color theme="1"/>
        <rFont val="宋体"/>
        <charset val="134"/>
        <scheme val="minor"/>
      </rPr>
      <t>-二羟基二苯乙烯</t>
    </r>
  </si>
  <si>
    <t>pinosylvin</t>
  </si>
  <si>
    <t>22139-77-1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</si>
  <si>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</si>
  <si>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044</t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</si>
  <si>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  <scheme val="minor"/>
      </rPr>
      <t>'-羟基-</t>
    </r>
    <r>
      <rPr>
        <sz val="11"/>
        <color theme="1"/>
        <rFont val="Times New Roman"/>
        <charset val="134"/>
      </rPr>
      <t>3,5</t>
    </r>
    <r>
      <rPr>
        <sz val="11"/>
        <color theme="1"/>
        <rFont val="宋体"/>
        <charset val="134"/>
        <scheme val="minor"/>
      </rPr>
      <t>-二甲氧基二苯乙烯</t>
    </r>
  </si>
  <si>
    <t>COC1=CC(=CC(=C1)C=CC2=CC=C(C=C2)O)OC</t>
  </si>
  <si>
    <t>InChI=1S/C16H16O3/c1-18-14-7-11(8-15(19-2)13-14)6-12-3-9-16(17)10-4-12/h3-10,17H,1-2H3/b11-6+</t>
  </si>
  <si>
    <t>045</t>
  </si>
  <si>
    <t>蛇菰宁</t>
  </si>
  <si>
    <t>Balaphonin</t>
  </si>
  <si>
    <t>118916-57-7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</si>
  <si>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</si>
  <si>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046</t>
  </si>
  <si>
    <r>
      <rPr>
        <sz val="11"/>
        <color theme="1"/>
        <rFont val="Times New Roman"/>
        <charset val="134"/>
      </rPr>
      <t>2,4</t>
    </r>
    <r>
      <rPr>
        <sz val="11"/>
        <color theme="1"/>
        <rFont val="宋体"/>
        <charset val="134"/>
        <scheme val="minor"/>
      </rPr>
      <t>-二羟基苯乙酮</t>
    </r>
  </si>
  <si>
    <t>2,4-Dihydroxyacetophenone</t>
  </si>
  <si>
    <t>89-84-9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</si>
  <si>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</si>
  <si>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OC1=CC=C(C=C1)C(=O)CC(C)C</t>
  </si>
  <si>
    <t>InChI=1S/C10H12O2/c1-7(2)6-10(12)8-3-5-9(11)4-8/h3-5,7,11H,6H2,1-2H3</t>
  </si>
  <si>
    <t>047</t>
  </si>
  <si>
    <t>白藜芦醇</t>
  </si>
  <si>
    <t>Resveratrol</t>
  </si>
  <si>
    <t>501-36-0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</si>
  <si>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</si>
  <si>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048</t>
  </si>
  <si>
    <t>香豆素</t>
  </si>
  <si>
    <t>Coumarin</t>
  </si>
  <si>
    <t>91-64-5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</si>
  <si>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</si>
  <si>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香豆素类</t>
  </si>
  <si>
    <t>COC1=CC=CC=C1C=CC(=O)CC(=O)C=C(C)C</t>
  </si>
  <si>
    <t>049</t>
  </si>
  <si>
    <r>
      <rPr>
        <sz val="11"/>
        <color theme="1"/>
        <rFont val="Times New Roman"/>
        <charset val="134"/>
      </rPr>
      <t>3,4,5</t>
    </r>
    <r>
      <rPr>
        <sz val="11"/>
        <color theme="1"/>
        <rFont val="宋体"/>
        <charset val="134"/>
        <scheme val="minor"/>
      </rPr>
      <t>-三甲氧基苯酚</t>
    </r>
  </si>
  <si>
    <t>3,4,5-Trimethoxyphenol</t>
  </si>
  <si>
    <t>642-71-7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</si>
  <si>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</si>
  <si>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050</t>
  </si>
  <si>
    <t>原儿茶醛</t>
  </si>
  <si>
    <t>Protocatechuic aldehyde</t>
  </si>
  <si>
    <t>139-85-5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</si>
  <si>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</si>
  <si>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酚酸类</t>
  </si>
  <si>
    <t>051</t>
  </si>
  <si>
    <r>
      <rPr>
        <sz val="11"/>
        <color theme="1"/>
        <rFont val="宋体"/>
        <charset val="134"/>
        <scheme val="minor"/>
      </rPr>
      <t>剑叶龙血素</t>
    </r>
    <r>
      <rPr>
        <sz val="11"/>
        <color theme="1"/>
        <rFont val="Times New Roman"/>
        <charset val="134"/>
      </rPr>
      <t>C</t>
    </r>
  </si>
  <si>
    <t>Cochinchinenin C</t>
  </si>
  <si>
    <t>956103-79-0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</si>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</sst>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0.5"/>
      <color rgb="FF212121"/>
      <name val="Segoe UI"/>
      <charset val="134"/>
    </font>
    <font>
      <sz val="8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tiff"/><Relationship Id="rId8" Type="http://schemas.openxmlformats.org/officeDocument/2006/relationships/image" Target="media/image8.tiff"/><Relationship Id="rId7" Type="http://schemas.openxmlformats.org/officeDocument/2006/relationships/image" Target="media/image7.tiff"/><Relationship Id="rId6" Type="http://schemas.openxmlformats.org/officeDocument/2006/relationships/image" Target="media/image6.tiff"/><Relationship Id="rId5" Type="http://schemas.openxmlformats.org/officeDocument/2006/relationships/image" Target="media/image5.tiff"/><Relationship Id="rId43" Type="http://schemas.openxmlformats.org/officeDocument/2006/relationships/image" Target="media/image43.tiff"/><Relationship Id="rId42" Type="http://schemas.openxmlformats.org/officeDocument/2006/relationships/image" Target="media/image42.tiff"/><Relationship Id="rId41" Type="http://schemas.openxmlformats.org/officeDocument/2006/relationships/image" Target="media/image41.tiff"/><Relationship Id="rId40" Type="http://schemas.openxmlformats.org/officeDocument/2006/relationships/image" Target="media/image40.tiff"/><Relationship Id="rId4" Type="http://schemas.openxmlformats.org/officeDocument/2006/relationships/image" Target="media/image4.tiff"/><Relationship Id="rId39" Type="http://schemas.openxmlformats.org/officeDocument/2006/relationships/image" Target="media/image39.tiff"/><Relationship Id="rId38" Type="http://schemas.openxmlformats.org/officeDocument/2006/relationships/image" Target="media/image38.tiff"/><Relationship Id="rId37" Type="http://schemas.openxmlformats.org/officeDocument/2006/relationships/image" Target="media/image37.tiff"/><Relationship Id="rId36" Type="http://schemas.openxmlformats.org/officeDocument/2006/relationships/image" Target="media/image36.tiff"/><Relationship Id="rId35" Type="http://schemas.openxmlformats.org/officeDocument/2006/relationships/image" Target="media/image35.tiff"/><Relationship Id="rId34" Type="http://schemas.openxmlformats.org/officeDocument/2006/relationships/image" Target="media/image34.tiff"/><Relationship Id="rId33" Type="http://schemas.openxmlformats.org/officeDocument/2006/relationships/image" Target="media/image33.tiff"/><Relationship Id="rId32" Type="http://schemas.openxmlformats.org/officeDocument/2006/relationships/image" Target="media/image32.tiff"/><Relationship Id="rId31" Type="http://schemas.openxmlformats.org/officeDocument/2006/relationships/image" Target="media/image31.tiff"/><Relationship Id="rId30" Type="http://schemas.openxmlformats.org/officeDocument/2006/relationships/image" Target="media/image30.tiff"/><Relationship Id="rId3" Type="http://schemas.openxmlformats.org/officeDocument/2006/relationships/image" Target="media/image3.tiff"/><Relationship Id="rId29" Type="http://schemas.openxmlformats.org/officeDocument/2006/relationships/image" Target="media/image29.tiff"/><Relationship Id="rId28" Type="http://schemas.openxmlformats.org/officeDocument/2006/relationships/image" Target="media/image28.tiff"/><Relationship Id="rId27" Type="http://schemas.openxmlformats.org/officeDocument/2006/relationships/image" Target="media/image27.tiff"/><Relationship Id="rId26" Type="http://schemas.openxmlformats.org/officeDocument/2006/relationships/image" Target="media/image26.tiff"/><Relationship Id="rId25" Type="http://schemas.openxmlformats.org/officeDocument/2006/relationships/image" Target="media/image25.tiff"/><Relationship Id="rId24" Type="http://schemas.openxmlformats.org/officeDocument/2006/relationships/image" Target="media/image24.tiff"/><Relationship Id="rId23" Type="http://schemas.openxmlformats.org/officeDocument/2006/relationships/image" Target="media/image23.tiff"/><Relationship Id="rId22" Type="http://schemas.openxmlformats.org/officeDocument/2006/relationships/image" Target="media/image22.tiff"/><Relationship Id="rId21" Type="http://schemas.openxmlformats.org/officeDocument/2006/relationships/image" Target="media/image21.tiff"/><Relationship Id="rId20" Type="http://schemas.openxmlformats.org/officeDocument/2006/relationships/image" Target="media/image20.tiff"/><Relationship Id="rId2" Type="http://schemas.openxmlformats.org/officeDocument/2006/relationships/image" Target="media/image2.tiff"/><Relationship Id="rId19" Type="http://schemas.openxmlformats.org/officeDocument/2006/relationships/image" Target="media/image19.tiff"/><Relationship Id="rId18" Type="http://schemas.openxmlformats.org/officeDocument/2006/relationships/image" Target="media/image18.tiff"/><Relationship Id="rId17" Type="http://schemas.openxmlformats.org/officeDocument/2006/relationships/image" Target="media/image17.tiff"/><Relationship Id="rId16" Type="http://schemas.openxmlformats.org/officeDocument/2006/relationships/image" Target="media/image16.tiff"/><Relationship Id="rId15" Type="http://schemas.openxmlformats.org/officeDocument/2006/relationships/image" Target="media/image15.tiff"/><Relationship Id="rId14" Type="http://schemas.openxmlformats.org/officeDocument/2006/relationships/image" Target="media/image14.tiff"/><Relationship Id="rId13" Type="http://schemas.openxmlformats.org/officeDocument/2006/relationships/image" Target="media/image13.tiff"/><Relationship Id="rId12" Type="http://schemas.openxmlformats.org/officeDocument/2006/relationships/image" Target="media/image12.tiff"/><Relationship Id="rId11" Type="http://schemas.openxmlformats.org/officeDocument/2006/relationships/image" Target="media/image11.tiff"/><Relationship Id="rId10" Type="http://schemas.openxmlformats.org/officeDocument/2006/relationships/image" Target="media/image10.tiff"/><Relationship Id="rId1" Type="http://schemas.openxmlformats.org/officeDocument/2006/relationships/image" Target="media/image1.tiff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abSelected="1" zoomScale="85" zoomScaleNormal="85" topLeftCell="B21" workbookViewId="0">
      <selection activeCell="B38" sqref="B38"/>
    </sheetView>
  </sheetViews>
  <sheetFormatPr defaultColWidth="8.89090909090909" defaultRowHeight="14"/>
  <cols>
    <col min="1" max="1" width="8.89090909090909" style="1"/>
    <col min="2" max="2" width="62.5545454545455" style="1" customWidth="1"/>
    <col min="3" max="3" width="50.8909090909091" style="1" customWidth="1"/>
    <col min="4" max="4" width="12.8909090909091" style="2" customWidth="1"/>
    <col min="5" max="5" width="10.7818181818182" style="3" customWidth="1"/>
    <col min="6" max="6" width="23.4454545454545" style="2" customWidth="1"/>
    <col min="7" max="7" width="20.3363636363636" style="2"/>
    <col min="9" max="9" width="17.3363636363636" customWidth="1"/>
    <col min="10" max="10" width="12.7818181818182" customWidth="1"/>
    <col min="11" max="11" width="24" customWidth="1"/>
    <col min="13" max="13" width="10.6636363636364" customWidth="1"/>
  </cols>
  <sheetData>
    <row r="1" ht="45" customHeight="1" spans="1:1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</row>
    <row r="2" ht="30" customHeight="1" spans="1:13">
      <c r="A2" s="5" t="s">
        <v>12</v>
      </c>
      <c r="B2" s="1" t="s">
        <v>13</v>
      </c>
      <c r="C2" s="2" t="s">
        <v>14</v>
      </c>
      <c r="D2" s="2" t="s">
        <v>15</v>
      </c>
      <c r="E2" s="3">
        <v>286.1205</v>
      </c>
      <c r="F2" s="2" t="s">
        <v>16</v>
      </c>
      <c r="G2" s="2" t="str">
        <f>_xlfn.DISPIMG("ID_42D3DE8ECCA543E8ACCC9CF421455EB8",1)</f>
        <v>=DISPIMG("ID_42D3DE8ECCA543E8ACCC9CF421455EB8",1)</v>
      </c>
      <c r="H2" t="s">
        <v>17</v>
      </c>
      <c r="I2" t="s">
        <v>15</v>
      </c>
      <c r="J2" t="s">
        <v>18</v>
      </c>
      <c r="K2" t="s">
        <v>19</v>
      </c>
      <c r="M2" s="6" t="s">
        <v>20</v>
      </c>
    </row>
    <row r="3" ht="28.05" customHeight="1" spans="1:13">
      <c r="A3" s="5" t="s">
        <v>21</v>
      </c>
      <c r="B3" s="1" t="s">
        <v>22</v>
      </c>
      <c r="C3" s="2" t="s">
        <v>23</v>
      </c>
      <c r="D3" s="2" t="s">
        <v>24</v>
      </c>
      <c r="E3" s="3">
        <v>316.1311</v>
      </c>
      <c r="F3" s="2" t="s">
        <v>25</v>
      </c>
      <c r="G3" s="2" t="str">
        <f>_xlfn.DISPIMG("ID_C30320838E334A97A9F5D480149A8E95",1)</f>
        <v>=DISPIMG("ID_C30320838E334A97A9F5D480149A8E95",1)</v>
      </c>
      <c r="H3" t="s">
        <v>17</v>
      </c>
      <c r="I3" t="s">
        <v>24</v>
      </c>
      <c r="J3" t="s">
        <v>26</v>
      </c>
      <c r="K3" t="s">
        <v>27</v>
      </c>
      <c r="M3" s="6" t="s">
        <v>20</v>
      </c>
    </row>
    <row r="4" ht="28.95" customHeight="1" spans="1:13">
      <c r="A4" s="5" t="s">
        <v>28</v>
      </c>
      <c r="B4" s="1" t="s">
        <v>29</v>
      </c>
      <c r="C4" s="2" t="s">
        <v>30</v>
      </c>
      <c r="D4" s="2" t="s">
        <v>31</v>
      </c>
      <c r="E4" s="3">
        <v>272.1049</v>
      </c>
      <c r="F4" s="2" t="s">
        <v>32</v>
      </c>
      <c r="G4" s="2" t="str">
        <f>_xlfn.DISPIMG("ID_401D178A94454D6391327CEB0FCF250E",1)</f>
        <v>=DISPIMG("ID_401D178A94454D6391327CEB0FCF250E",1)</v>
      </c>
      <c r="H4" t="s">
        <v>17</v>
      </c>
      <c r="I4" t="s">
        <v>31</v>
      </c>
      <c r="J4" t="s">
        <v>33</v>
      </c>
      <c r="K4" t="s">
        <v>27</v>
      </c>
      <c r="M4" s="6" t="s">
        <v>20</v>
      </c>
    </row>
    <row r="5" ht="28.95" customHeight="1" spans="1:13">
      <c r="A5" s="5" t="s">
        <v>34</v>
      </c>
      <c r="B5" s="1" t="s">
        <v>35</v>
      </c>
      <c r="C5" s="2" t="s">
        <v>36</v>
      </c>
      <c r="D5" s="2" t="s">
        <v>37</v>
      </c>
      <c r="E5" s="3">
        <v>288.0998</v>
      </c>
      <c r="F5" s="2" t="s">
        <v>38</v>
      </c>
      <c r="G5" s="2" t="str">
        <f>_xlfn.DISPIMG("ID_E7A56FE0F8A74F26B5D357481582A435",1)</f>
        <v>=DISPIMG("ID_E7A56FE0F8A74F26B5D357481582A435",1)</v>
      </c>
      <c r="H5" t="s">
        <v>17</v>
      </c>
      <c r="I5" t="s">
        <v>37</v>
      </c>
      <c r="J5" t="s">
        <v>39</v>
      </c>
      <c r="K5" t="s">
        <v>40</v>
      </c>
      <c r="M5" s="6" t="s">
        <v>20</v>
      </c>
    </row>
    <row r="6" ht="28.05" customHeight="1" spans="1:13">
      <c r="A6" s="5" t="s">
        <v>41</v>
      </c>
      <c r="B6" s="2" t="s">
        <v>42</v>
      </c>
      <c r="C6" s="2"/>
      <c r="D6" s="2" t="s">
        <v>43</v>
      </c>
      <c r="E6" s="3">
        <v>302.1154</v>
      </c>
      <c r="F6" s="2" t="s">
        <v>44</v>
      </c>
      <c r="G6" s="2" t="str">
        <f>_xlfn.DISPIMG("ID_B64F8583B3F24207A1BDB5D9916CCBBB",1)</f>
        <v>=DISPIMG("ID_B64F8583B3F24207A1BDB5D9916CCBBB",1)</v>
      </c>
      <c r="H6" t="s">
        <v>17</v>
      </c>
      <c r="I6" t="s">
        <v>43</v>
      </c>
      <c r="J6" t="s">
        <v>45</v>
      </c>
      <c r="K6" t="s">
        <v>46</v>
      </c>
      <c r="M6" s="6" t="s">
        <v>20</v>
      </c>
    </row>
    <row r="7" ht="27" customHeight="1" spans="1:13">
      <c r="A7" s="5" t="s">
        <v>47</v>
      </c>
      <c r="B7" s="1" t="s">
        <v>48</v>
      </c>
      <c r="C7" s="2" t="s">
        <v>49</v>
      </c>
      <c r="D7" s="2" t="s">
        <v>50</v>
      </c>
      <c r="E7" s="3">
        <v>286.1205</v>
      </c>
      <c r="F7" s="2" t="s">
        <v>16</v>
      </c>
      <c r="G7" s="2" t="str">
        <f>_xlfn.DISPIMG("ID_DC2D2A383AB149ECB8EAF21AEC2D9F49",1)</f>
        <v>=DISPIMG("ID_DC2D2A383AB149ECB8EAF21AEC2D9F49",1)</v>
      </c>
      <c r="H7" t="s">
        <v>17</v>
      </c>
      <c r="I7" t="s">
        <v>50</v>
      </c>
      <c r="J7" t="s">
        <v>51</v>
      </c>
      <c r="K7" t="s">
        <v>52</v>
      </c>
      <c r="M7" s="6" t="s">
        <v>20</v>
      </c>
    </row>
    <row r="8" ht="27" customHeight="1" spans="1:13">
      <c r="A8" s="5" t="s">
        <v>53</v>
      </c>
      <c r="B8" s="2" t="s">
        <v>54</v>
      </c>
      <c r="C8" s="2" t="s">
        <v>55</v>
      </c>
      <c r="D8" s="2" t="s">
        <v>56</v>
      </c>
      <c r="E8" s="3">
        <v>270.0892</v>
      </c>
      <c r="F8" s="2" t="s">
        <v>57</v>
      </c>
      <c r="G8" s="2" t="str">
        <f>_xlfn.DISPIMG("ID_511E470B327B4D3F8A1B4F0E860FEF9B",1)</f>
        <v>=DISPIMG("ID_511E470B327B4D3F8A1B4F0E860FEF9B",1)</v>
      </c>
      <c r="H8" t="s">
        <v>17</v>
      </c>
      <c r="I8" t="s">
        <v>56</v>
      </c>
      <c r="J8" t="s">
        <v>58</v>
      </c>
      <c r="K8" t="s">
        <v>52</v>
      </c>
      <c r="M8" s="6" t="s">
        <v>20</v>
      </c>
    </row>
    <row r="9" ht="28.05" customHeight="1" spans="1:13">
      <c r="A9" s="5" t="s">
        <v>59</v>
      </c>
      <c r="B9" s="2" t="s">
        <v>60</v>
      </c>
      <c r="C9" s="2" t="s">
        <v>61</v>
      </c>
      <c r="D9" s="2" t="s">
        <v>62</v>
      </c>
      <c r="E9" s="3">
        <v>256.0736</v>
      </c>
      <c r="F9" s="2" t="s">
        <v>63</v>
      </c>
      <c r="G9" s="2" t="str">
        <f>_xlfn.DISPIMG("ID_7EFBA73C07C843B981899AA6DF241663",1)</f>
        <v>=DISPIMG("ID_7EFBA73C07C843B981899AA6DF241663",1)</v>
      </c>
      <c r="H9" t="s">
        <v>17</v>
      </c>
      <c r="I9" t="s">
        <v>64</v>
      </c>
      <c r="J9" t="s">
        <v>45</v>
      </c>
      <c r="K9" t="s">
        <v>46</v>
      </c>
      <c r="M9" s="6" t="s">
        <v>20</v>
      </c>
    </row>
    <row r="10" ht="28.95" customHeight="1" spans="1:13">
      <c r="A10" s="5" t="s">
        <v>65</v>
      </c>
      <c r="B10" s="1" t="s">
        <v>66</v>
      </c>
      <c r="C10" s="2" t="s">
        <v>67</v>
      </c>
      <c r="D10" s="2" t="s">
        <v>68</v>
      </c>
      <c r="E10" s="3">
        <v>286.0841</v>
      </c>
      <c r="F10" s="2" t="s">
        <v>69</v>
      </c>
      <c r="G10" s="2" t="str">
        <f>_xlfn.DISPIMG("ID_F637CCA1235A43A59FA6A6FB9361A204",1)</f>
        <v>=DISPIMG("ID_F637CCA1235A43A59FA6A6FB9361A204",1)</v>
      </c>
      <c r="H10" t="s">
        <v>17</v>
      </c>
      <c r="I10" t="s">
        <v>68</v>
      </c>
      <c r="J10" t="s">
        <v>58</v>
      </c>
      <c r="K10" t="s">
        <v>52</v>
      </c>
      <c r="M10" s="6" t="s">
        <v>20</v>
      </c>
    </row>
    <row r="11" ht="28.05" customHeight="1" spans="1:13">
      <c r="A11" s="5" t="s">
        <v>70</v>
      </c>
      <c r="B11" s="2" t="s">
        <v>71</v>
      </c>
      <c r="C11" s="2" t="s">
        <v>72</v>
      </c>
      <c r="D11" s="2" t="s">
        <v>73</v>
      </c>
      <c r="E11" s="3">
        <v>270.0892</v>
      </c>
      <c r="F11" s="2" t="s">
        <v>57</v>
      </c>
      <c r="G11" s="2" t="str">
        <f>_xlfn.DISPIMG("ID_0FF10468A06E46F69BA74B9A4FC5E646",1)</f>
        <v>=DISPIMG("ID_0FF10468A06E46F69BA74B9A4FC5E646",1)</v>
      </c>
      <c r="H11" t="s">
        <v>17</v>
      </c>
      <c r="I11" t="s">
        <v>73</v>
      </c>
      <c r="J11" t="s">
        <v>58</v>
      </c>
      <c r="K11" t="s">
        <v>52</v>
      </c>
      <c r="M11" s="6" t="s">
        <v>20</v>
      </c>
    </row>
    <row r="12" ht="28.05" customHeight="1" spans="1:13">
      <c r="A12" s="5" t="s">
        <v>74</v>
      </c>
      <c r="B12" s="2" t="s">
        <v>75</v>
      </c>
      <c r="C12" s="2" t="s">
        <v>76</v>
      </c>
      <c r="D12" s="2" t="s">
        <v>77</v>
      </c>
      <c r="E12" s="3">
        <v>286.0841</v>
      </c>
      <c r="F12" s="2" t="s">
        <v>69</v>
      </c>
      <c r="G12" s="2" t="str">
        <f>_xlfn.DISPIMG("ID_383E11F062AD4F20917D5D597FC36CC4",1)</f>
        <v>=DISPIMG("ID_383E11F062AD4F20917D5D597FC36CC4",1)</v>
      </c>
      <c r="H12" t="s">
        <v>17</v>
      </c>
      <c r="I12" t="s">
        <v>77</v>
      </c>
      <c r="J12" t="s">
        <v>45</v>
      </c>
      <c r="K12" t="s">
        <v>46</v>
      </c>
      <c r="M12" s="6" t="s">
        <v>20</v>
      </c>
    </row>
    <row r="13" ht="28.05" customHeight="1" spans="1:13">
      <c r="A13" s="5" t="s">
        <v>78</v>
      </c>
      <c r="B13" s="4" t="s">
        <v>79</v>
      </c>
      <c r="C13" s="2" t="s">
        <v>80</v>
      </c>
      <c r="D13" s="2" t="s">
        <v>81</v>
      </c>
      <c r="E13" s="3">
        <v>272.1049</v>
      </c>
      <c r="F13" s="2" t="s">
        <v>32</v>
      </c>
      <c r="G13" s="2" t="str">
        <f>_xlfn.DISPIMG("ID_E904AAA25FC54FBD803E57E489B798A8",1)</f>
        <v>=DISPIMG("ID_E904AAA25FC54FBD803E57E489B798A8",1)</v>
      </c>
      <c r="H13" t="s">
        <v>17</v>
      </c>
      <c r="I13" t="s">
        <v>81</v>
      </c>
      <c r="J13" t="s">
        <v>58</v>
      </c>
      <c r="K13" t="s">
        <v>52</v>
      </c>
      <c r="M13" s="6" t="s">
        <v>20</v>
      </c>
    </row>
    <row r="14" ht="28.95" customHeight="1" spans="1:13">
      <c r="A14" s="5" t="s">
        <v>82</v>
      </c>
      <c r="B14" s="4" t="s">
        <v>83</v>
      </c>
      <c r="C14" s="2" t="s">
        <v>84</v>
      </c>
      <c r="D14" s="2" t="s">
        <v>85</v>
      </c>
      <c r="E14" s="3">
        <v>256.1099</v>
      </c>
      <c r="F14" s="2" t="s">
        <v>86</v>
      </c>
      <c r="G14" s="2" t="str">
        <f>_xlfn.DISPIMG("ID_FF1C4713DBF341578135716DD45665E3",1)</f>
        <v>=DISPIMG("ID_FF1C4713DBF341578135716DD45665E3",1)</v>
      </c>
      <c r="H14" t="s">
        <v>17</v>
      </c>
      <c r="I14" t="s">
        <v>85</v>
      </c>
      <c r="J14" t="s">
        <v>45</v>
      </c>
      <c r="K14" t="s">
        <v>46</v>
      </c>
      <c r="M14" s="6" t="s">
        <v>20</v>
      </c>
    </row>
    <row r="15" ht="28.05" customHeight="1" spans="1:13">
      <c r="A15" s="5" t="s">
        <v>87</v>
      </c>
      <c r="B15" s="2" t="s">
        <v>88</v>
      </c>
      <c r="C15" s="2" t="s">
        <v>89</v>
      </c>
      <c r="D15" s="2" t="s">
        <v>90</v>
      </c>
      <c r="E15" s="3">
        <v>254.0579</v>
      </c>
      <c r="F15" s="2" t="s">
        <v>91</v>
      </c>
      <c r="G15" s="2" t="str">
        <f>_xlfn.DISPIMG("ID_6467D7DF8BF5402597BC69D3CA82CE3F",1)</f>
        <v>=DISPIMG("ID_6467D7DF8BF5402597BC69D3CA82CE3F",1)</v>
      </c>
      <c r="H15" t="s">
        <v>17</v>
      </c>
      <c r="I15" t="s">
        <v>90</v>
      </c>
      <c r="J15" t="s">
        <v>45</v>
      </c>
      <c r="K15" t="s">
        <v>46</v>
      </c>
      <c r="M15" s="6" t="s">
        <v>20</v>
      </c>
    </row>
    <row r="16" ht="27" customHeight="1" spans="1:13">
      <c r="A16" s="5" t="s">
        <v>92</v>
      </c>
      <c r="B16" s="2" t="s">
        <v>93</v>
      </c>
      <c r="C16" s="2" t="s">
        <v>94</v>
      </c>
      <c r="D16" s="2" t="s">
        <v>85</v>
      </c>
      <c r="E16" s="3">
        <v>256.1099</v>
      </c>
      <c r="F16" s="2" t="s">
        <v>86</v>
      </c>
      <c r="G16" s="2" t="str">
        <f>_xlfn.DISPIMG("ID_1294620CB74C4E58B3D71C2CA71E8361",1)</f>
        <v>=DISPIMG("ID_1294620CB74C4E58B3D71C2CA71E8361",1)</v>
      </c>
      <c r="H16" t="s">
        <v>17</v>
      </c>
      <c r="I16" t="s">
        <v>95</v>
      </c>
      <c r="J16" t="s">
        <v>58</v>
      </c>
      <c r="K16" t="s">
        <v>52</v>
      </c>
      <c r="M16" s="6" t="s">
        <v>20</v>
      </c>
    </row>
    <row r="17" ht="27" customHeight="1" spans="1:13">
      <c r="A17" s="5" t="s">
        <v>96</v>
      </c>
      <c r="B17" s="2" t="s">
        <v>97</v>
      </c>
      <c r="C17" s="2" t="s">
        <v>98</v>
      </c>
      <c r="D17" s="2" t="s">
        <v>99</v>
      </c>
      <c r="E17" s="3">
        <v>256.1099</v>
      </c>
      <c r="F17" s="2" t="s">
        <v>86</v>
      </c>
      <c r="G17" s="2" t="str">
        <f>_xlfn.DISPIMG("ID_1777AEA3B7F14F8A85CFBFB73E6A260E",1)</f>
        <v>=DISPIMG("ID_1777AEA3B7F14F8A85CFBFB73E6A260E",1)</v>
      </c>
      <c r="H17" t="s">
        <v>17</v>
      </c>
      <c r="I17" t="s">
        <v>99</v>
      </c>
      <c r="J17" t="s">
        <v>58</v>
      </c>
      <c r="K17" t="s">
        <v>52</v>
      </c>
      <c r="M17" s="6" t="s">
        <v>20</v>
      </c>
    </row>
    <row r="18" ht="27" customHeight="1" spans="1:13">
      <c r="A18" s="5" t="s">
        <v>100</v>
      </c>
      <c r="B18" s="2" t="s">
        <v>101</v>
      </c>
      <c r="C18" s="7" t="s">
        <v>102</v>
      </c>
      <c r="D18" s="2" t="s">
        <v>103</v>
      </c>
      <c r="E18" s="3">
        <v>300.0998</v>
      </c>
      <c r="F18" s="2" t="s">
        <v>104</v>
      </c>
      <c r="G18" s="2" t="str">
        <f>_xlfn.DISPIMG("ID_9FA44B6B7F1340968A548CC46F8C7E6A",1)</f>
        <v>=DISPIMG("ID_9FA44B6B7F1340968A548CC46F8C7E6A",1)</v>
      </c>
      <c r="H18" t="s">
        <v>17</v>
      </c>
      <c r="I18" t="s">
        <v>103</v>
      </c>
      <c r="J18" t="s">
        <v>58</v>
      </c>
      <c r="K18" t="s">
        <v>52</v>
      </c>
      <c r="M18" s="6" t="s">
        <v>20</v>
      </c>
    </row>
    <row r="19" ht="22.05" customHeight="1" spans="1:13">
      <c r="A19" s="5" t="s">
        <v>105</v>
      </c>
      <c r="B19" s="2" t="s">
        <v>106</v>
      </c>
      <c r="C19" s="2" t="s">
        <v>80</v>
      </c>
      <c r="D19" s="2" t="s">
        <v>81</v>
      </c>
      <c r="E19" s="3">
        <v>272.1049</v>
      </c>
      <c r="F19" s="2" t="s">
        <v>32</v>
      </c>
      <c r="G19" s="2" t="str">
        <f>_xlfn.DISPIMG("ID_E31774474505407183AC646CB3BBC99F",1)</f>
        <v>=DISPIMG("ID_E31774474505407183AC646CB3BBC99F",1)</v>
      </c>
      <c r="H19" t="s">
        <v>17</v>
      </c>
      <c r="I19" t="s">
        <v>81</v>
      </c>
      <c r="J19" t="s">
        <v>107</v>
      </c>
      <c r="K19" t="s">
        <v>108</v>
      </c>
      <c r="M19" s="6" t="s">
        <v>20</v>
      </c>
    </row>
    <row r="20" ht="28.05" customHeight="1" spans="1:13">
      <c r="A20" s="5" t="s">
        <v>109</v>
      </c>
      <c r="B20" s="2" t="s">
        <v>110</v>
      </c>
      <c r="C20" s="2" t="s">
        <v>111</v>
      </c>
      <c r="D20" s="2" t="s">
        <v>95</v>
      </c>
      <c r="E20" s="3">
        <v>272.1049</v>
      </c>
      <c r="F20" s="2" t="s">
        <v>32</v>
      </c>
      <c r="G20" s="2" t="str">
        <f>_xlfn.DISPIMG("ID_91E2ADEC9DD74BF5818D8A020943EFA4",1)</f>
        <v>=DISPIMG("ID_91E2ADEC9DD74BF5818D8A020943EFA4",1)</v>
      </c>
      <c r="H20" t="s">
        <v>17</v>
      </c>
      <c r="I20" t="s">
        <v>95</v>
      </c>
      <c r="J20" t="s">
        <v>58</v>
      </c>
      <c r="K20" t="s">
        <v>52</v>
      </c>
      <c r="M20" s="6" t="s">
        <v>20</v>
      </c>
    </row>
    <row r="21" ht="27" customHeight="1" spans="1:13">
      <c r="A21" s="5" t="s">
        <v>112</v>
      </c>
      <c r="B21" s="2" t="s">
        <v>113</v>
      </c>
      <c r="C21" s="2" t="s">
        <v>114</v>
      </c>
      <c r="D21" s="2" t="s">
        <v>90</v>
      </c>
      <c r="E21" s="3">
        <v>254.0579</v>
      </c>
      <c r="F21" s="2" t="s">
        <v>91</v>
      </c>
      <c r="G21" s="2" t="str">
        <f>_xlfn.DISPIMG("ID_5E63FE12D7F14C2EB6062B3313ED395F",1)</f>
        <v>=DISPIMG("ID_5E63FE12D7F14C2EB6062B3313ED395F",1)</v>
      </c>
      <c r="H21" t="s">
        <v>17</v>
      </c>
      <c r="I21" t="s">
        <v>90</v>
      </c>
      <c r="J21" t="s">
        <v>45</v>
      </c>
      <c r="K21" t="s">
        <v>46</v>
      </c>
      <c r="M21" s="6" t="s">
        <v>20</v>
      </c>
    </row>
    <row r="22" ht="28.05" customHeight="1" spans="1:13">
      <c r="A22" s="5" t="s">
        <v>115</v>
      </c>
      <c r="B22" s="2" t="s">
        <v>116</v>
      </c>
      <c r="C22" s="2" t="s">
        <v>117</v>
      </c>
      <c r="D22" s="2" t="s">
        <v>118</v>
      </c>
      <c r="E22" s="3">
        <v>256.0736</v>
      </c>
      <c r="F22" s="2" t="s">
        <v>63</v>
      </c>
      <c r="G22" s="2" t="str">
        <f>_xlfn.DISPIMG("ID_C7666338A3F4481A8449189243B358CE",1)</f>
        <v>=DISPIMG("ID_C7666338A3F4481A8449189243B358CE",1)</v>
      </c>
      <c r="H22" t="s">
        <v>17</v>
      </c>
      <c r="I22" t="s">
        <v>118</v>
      </c>
      <c r="J22" t="s">
        <v>45</v>
      </c>
      <c r="K22" t="s">
        <v>46</v>
      </c>
      <c r="M22" s="6" t="s">
        <v>20</v>
      </c>
    </row>
    <row r="23" ht="28.05" customHeight="1" spans="1:13">
      <c r="A23" s="5" t="s">
        <v>119</v>
      </c>
      <c r="B23" s="2" t="s">
        <v>120</v>
      </c>
      <c r="C23" s="2" t="s">
        <v>121</v>
      </c>
      <c r="E23" s="3">
        <v>272.0685</v>
      </c>
      <c r="F23" s="2" t="s">
        <v>122</v>
      </c>
      <c r="H23" t="s">
        <v>17</v>
      </c>
      <c r="J23" s="8" t="s">
        <v>123</v>
      </c>
      <c r="K23" s="8" t="s">
        <v>124</v>
      </c>
      <c r="M23" s="6" t="s">
        <v>20</v>
      </c>
    </row>
    <row r="24" ht="28.95" customHeight="1" spans="1:13">
      <c r="A24" s="5" t="s">
        <v>125</v>
      </c>
      <c r="B24" s="1" t="s">
        <v>126</v>
      </c>
      <c r="C24" s="2" t="s">
        <v>127</v>
      </c>
      <c r="D24" s="2" t="s">
        <v>128</v>
      </c>
      <c r="E24" s="3">
        <v>314.079</v>
      </c>
      <c r="F24" s="2" t="s">
        <v>129</v>
      </c>
      <c r="G24" s="2" t="str">
        <f>_xlfn.DISPIMG("ID_1FA83DE878B341B3AAB5FF0856B8C861",1)</f>
        <v>=DISPIMG("ID_1FA83DE878B341B3AAB5FF0856B8C861",1)</v>
      </c>
      <c r="H24" t="s">
        <v>17</v>
      </c>
      <c r="I24" t="s">
        <v>128</v>
      </c>
      <c r="J24" t="s">
        <v>58</v>
      </c>
      <c r="K24" t="s">
        <v>52</v>
      </c>
      <c r="M24" s="6" t="s">
        <v>20</v>
      </c>
    </row>
    <row r="25" ht="28.05" customHeight="1" spans="1:13">
      <c r="A25" s="5" t="s">
        <v>130</v>
      </c>
      <c r="B25" s="2" t="s">
        <v>131</v>
      </c>
      <c r="C25" s="2" t="s">
        <v>132</v>
      </c>
      <c r="D25" s="2" t="s">
        <v>99</v>
      </c>
      <c r="E25" s="3">
        <v>256.1099</v>
      </c>
      <c r="F25" s="2" t="s">
        <v>86</v>
      </c>
      <c r="G25" s="2" t="str">
        <f>_xlfn.DISPIMG("ID_17730C6E26C543D0BA5FDFB1CC2BDEC9",1)</f>
        <v>=DISPIMG("ID_17730C6E26C543D0BA5FDFB1CC2BDEC9",1)</v>
      </c>
      <c r="H25" t="s">
        <v>17</v>
      </c>
      <c r="I25" t="s">
        <v>99</v>
      </c>
      <c r="J25" t="s">
        <v>58</v>
      </c>
      <c r="K25" t="s">
        <v>52</v>
      </c>
      <c r="M25" s="6" t="s">
        <v>20</v>
      </c>
    </row>
    <row r="26" ht="28.95" customHeight="1" spans="1:13">
      <c r="A26" s="5" t="s">
        <v>133</v>
      </c>
      <c r="B26" s="2" t="s">
        <v>134</v>
      </c>
      <c r="C26" s="2" t="s">
        <v>135</v>
      </c>
      <c r="D26" s="7" t="s">
        <v>136</v>
      </c>
      <c r="E26" s="3">
        <v>270.0528</v>
      </c>
      <c r="F26" s="2" t="s">
        <v>137</v>
      </c>
      <c r="G26" s="2" t="str">
        <f>_xlfn.DISPIMG("ID_41109898455E4A0BA895FAEF1B607A0D",1)</f>
        <v>=DISPIMG("ID_41109898455E4A0BA895FAEF1B607A0D",1)</v>
      </c>
      <c r="H26" t="s">
        <v>17</v>
      </c>
      <c r="I26" t="s">
        <v>136</v>
      </c>
      <c r="J26" t="s">
        <v>45</v>
      </c>
      <c r="K26" t="s">
        <v>46</v>
      </c>
      <c r="M26" s="6" t="s">
        <v>20</v>
      </c>
    </row>
    <row r="27" ht="28.05" customHeight="1" spans="1:13">
      <c r="A27" s="5" t="s">
        <v>138</v>
      </c>
      <c r="B27" s="2" t="s">
        <v>139</v>
      </c>
      <c r="C27" s="2" t="s">
        <v>140</v>
      </c>
      <c r="D27" s="2" t="s">
        <v>141</v>
      </c>
      <c r="E27" s="3">
        <v>238.063</v>
      </c>
      <c r="F27" s="2" t="s">
        <v>142</v>
      </c>
      <c r="G27" s="2" t="str">
        <f>_xlfn.DISPIMG("ID_516170FE372A4C86838BA6389E4B73BF",1)</f>
        <v>=DISPIMG("ID_516170FE372A4C86838BA6389E4B73BF",1)</v>
      </c>
      <c r="H27" t="s">
        <v>17</v>
      </c>
      <c r="I27" t="s">
        <v>141</v>
      </c>
      <c r="J27" t="s">
        <v>58</v>
      </c>
      <c r="K27" t="s">
        <v>52</v>
      </c>
      <c r="M27" s="6" t="s">
        <v>20</v>
      </c>
    </row>
    <row r="28" ht="28.05" customHeight="1" spans="1:13">
      <c r="A28" s="5" t="s">
        <v>143</v>
      </c>
      <c r="B28" s="2" t="s">
        <v>144</v>
      </c>
      <c r="C28" s="2" t="s">
        <v>145</v>
      </c>
      <c r="D28" s="2" t="s">
        <v>146</v>
      </c>
      <c r="E28" s="3">
        <v>254.0579</v>
      </c>
      <c r="F28" s="2" t="s">
        <v>147</v>
      </c>
      <c r="G28" s="2" t="str">
        <f>_xlfn.DISPIMG("ID_95165DF395304676900D1BF6F470BC91",1)</f>
        <v>=DISPIMG("ID_95165DF395304676900D1BF6F470BC91",1)</v>
      </c>
      <c r="H28" t="s">
        <v>17</v>
      </c>
      <c r="I28" t="s">
        <v>146</v>
      </c>
      <c r="J28" t="s">
        <v>58</v>
      </c>
      <c r="K28" t="s">
        <v>52</v>
      </c>
      <c r="M28" s="6" t="s">
        <v>20</v>
      </c>
    </row>
    <row r="29" ht="27" customHeight="1" spans="1:13">
      <c r="A29" s="5" t="s">
        <v>148</v>
      </c>
      <c r="B29" s="1" t="s">
        <v>149</v>
      </c>
      <c r="C29" s="2" t="s">
        <v>150</v>
      </c>
      <c r="D29" s="2" t="s">
        <v>151</v>
      </c>
      <c r="E29" s="3">
        <v>418.1628</v>
      </c>
      <c r="F29" s="2" t="s">
        <v>152</v>
      </c>
      <c r="G29" s="2" t="str">
        <f>_xlfn.DISPIMG("ID_A133B316E7DA4B9CA3689B2660FD9442",1)</f>
        <v>=DISPIMG("ID_A133B316E7DA4B9CA3689B2660FD9442",1)</v>
      </c>
      <c r="H29" t="s">
        <v>153</v>
      </c>
      <c r="I29" t="s">
        <v>151</v>
      </c>
      <c r="J29" t="s">
        <v>45</v>
      </c>
      <c r="K29" t="s">
        <v>46</v>
      </c>
      <c r="M29" s="6" t="s">
        <v>20</v>
      </c>
    </row>
    <row r="30" ht="28.05" customHeight="1" spans="1:13">
      <c r="A30" s="5" t="s">
        <v>154</v>
      </c>
      <c r="B30" s="1" t="s">
        <v>155</v>
      </c>
      <c r="C30" s="2" t="s">
        <v>156</v>
      </c>
      <c r="D30" s="2" t="s">
        <v>157</v>
      </c>
      <c r="E30" s="3">
        <v>154.1358</v>
      </c>
      <c r="F30" s="2" t="s">
        <v>158</v>
      </c>
      <c r="H30" t="s">
        <v>153</v>
      </c>
      <c r="I30" t="s">
        <v>157</v>
      </c>
      <c r="J30" t="s">
        <v>58</v>
      </c>
      <c r="K30" t="s">
        <v>52</v>
      </c>
      <c r="M30" s="6" t="s">
        <v>20</v>
      </c>
    </row>
    <row r="31" ht="25.95" customHeight="1" spans="1:13">
      <c r="A31" s="5" t="s">
        <v>159</v>
      </c>
      <c r="B31" s="1" t="s">
        <v>160</v>
      </c>
      <c r="C31" s="2" t="s">
        <v>161</v>
      </c>
      <c r="D31" s="2" t="s">
        <v>151</v>
      </c>
      <c r="E31" s="9">
        <v>418.1628</v>
      </c>
      <c r="F31" s="2" t="s">
        <v>152</v>
      </c>
      <c r="G31" s="2" t="str">
        <f>_xlfn.DISPIMG("ID_DF969EC202334B18A41B051D8058BFF0",1)</f>
        <v>=DISPIMG("ID_DF969EC202334B18A41B051D8058BFF0",1)</v>
      </c>
      <c r="H31" t="s">
        <v>153</v>
      </c>
      <c r="I31" t="s">
        <v>151</v>
      </c>
      <c r="J31" t="s">
        <v>45</v>
      </c>
      <c r="K31" t="s">
        <v>46</v>
      </c>
      <c r="M31" s="6" t="s">
        <v>20</v>
      </c>
    </row>
    <row r="32" ht="30" customHeight="1" spans="1:13">
      <c r="A32" s="5" t="s">
        <v>162</v>
      </c>
      <c r="B32" s="2" t="s">
        <v>163</v>
      </c>
      <c r="C32" s="2" t="s">
        <v>164</v>
      </c>
      <c r="D32" s="2" t="s">
        <v>165</v>
      </c>
      <c r="E32" s="3">
        <v>388.1522</v>
      </c>
      <c r="F32" s="2" t="s">
        <v>166</v>
      </c>
      <c r="G32" s="2" t="str">
        <f>_xlfn.DISPIMG("ID_0C6B029C22684C1C8567C3EEEAD2DA80",1)</f>
        <v>=DISPIMG("ID_0C6B029C22684C1C8567C3EEEAD2DA80",1)</v>
      </c>
      <c r="H32" t="s">
        <v>153</v>
      </c>
      <c r="I32" t="s">
        <v>165</v>
      </c>
      <c r="J32" t="s">
        <v>58</v>
      </c>
      <c r="K32" t="s">
        <v>52</v>
      </c>
      <c r="M32" s="6" t="s">
        <v>20</v>
      </c>
    </row>
    <row r="33" ht="28.05" customHeight="1" spans="1:13">
      <c r="A33" s="5" t="s">
        <v>167</v>
      </c>
      <c r="B33" s="2" t="s">
        <v>168</v>
      </c>
      <c r="C33" s="2" t="s">
        <v>169</v>
      </c>
      <c r="D33" s="2" t="s">
        <v>170</v>
      </c>
      <c r="E33" s="3">
        <v>414.3134</v>
      </c>
      <c r="F33" s="2" t="s">
        <v>171</v>
      </c>
      <c r="G33" s="2" t="str">
        <f>_xlfn.DISPIMG("ID_E84CE7BB617F4C8CA9717521DAD4A910",1)</f>
        <v>=DISPIMG("ID_E84CE7BB617F4C8CA9717521DAD4A910",1)</v>
      </c>
      <c r="H33" t="s">
        <v>172</v>
      </c>
      <c r="I33" t="s">
        <v>170</v>
      </c>
      <c r="J33" t="s">
        <v>45</v>
      </c>
      <c r="K33" t="s">
        <v>46</v>
      </c>
      <c r="M33" s="6" t="s">
        <v>20</v>
      </c>
    </row>
    <row r="34" ht="28.05" customHeight="1" spans="1:13">
      <c r="A34" s="5" t="s">
        <v>173</v>
      </c>
      <c r="B34" s="2" t="s">
        <v>174</v>
      </c>
      <c r="C34" s="2" t="s">
        <v>175</v>
      </c>
      <c r="D34" s="2" t="s">
        <v>176</v>
      </c>
      <c r="E34" s="3">
        <v>414.3862</v>
      </c>
      <c r="F34" s="2" t="s">
        <v>177</v>
      </c>
      <c r="G34" s="2" t="str">
        <f>_xlfn.DISPIMG("ID_BBB5D89F009047068EBFAA7A176A12BA",1)</f>
        <v>=DISPIMG("ID_BBB5D89F009047068EBFAA7A176A12BA",1)</v>
      </c>
      <c r="H34" t="s">
        <v>172</v>
      </c>
      <c r="I34" t="s">
        <v>176</v>
      </c>
      <c r="J34" t="s">
        <v>58</v>
      </c>
      <c r="K34" t="s">
        <v>52</v>
      </c>
      <c r="M34" s="6" t="s">
        <v>20</v>
      </c>
    </row>
    <row r="35" ht="28.05" customHeight="1" spans="1:13">
      <c r="A35" s="5" t="s">
        <v>178</v>
      </c>
      <c r="B35" s="2" t="s">
        <v>179</v>
      </c>
      <c r="C35" s="2" t="s">
        <v>180</v>
      </c>
      <c r="D35" s="2" t="s">
        <v>181</v>
      </c>
      <c r="E35" s="3">
        <v>400.3705</v>
      </c>
      <c r="F35" s="2" t="s">
        <v>182</v>
      </c>
      <c r="G35" s="2" t="str">
        <f>_xlfn.DISPIMG("ID_7B4BC448DDE14A639302BF597E3152BF",1)</f>
        <v>=DISPIMG("ID_7B4BC448DDE14A639302BF597E3152BF",1)</v>
      </c>
      <c r="H35" t="s">
        <v>172</v>
      </c>
      <c r="I35" t="s">
        <v>181</v>
      </c>
      <c r="J35" t="s">
        <v>58</v>
      </c>
      <c r="K35" t="s">
        <v>52</v>
      </c>
      <c r="M35" s="6" t="s">
        <v>20</v>
      </c>
    </row>
    <row r="36" ht="28.05" customHeight="1" spans="1:13">
      <c r="A36" s="5" t="s">
        <v>183</v>
      </c>
      <c r="B36" s="1" t="s">
        <v>184</v>
      </c>
      <c r="C36" s="2" t="s">
        <v>185</v>
      </c>
      <c r="D36" s="2" t="s">
        <v>186</v>
      </c>
      <c r="E36" s="3">
        <v>400.3705</v>
      </c>
      <c r="F36" s="2" t="s">
        <v>182</v>
      </c>
      <c r="G36" s="2" t="str">
        <f>_xlfn.DISPIMG("ID_23932CBD7367436D852F31D98D6DF824",1)</f>
        <v>=DISPIMG("ID_23932CBD7367436D852F31D98D6DF824",1)</v>
      </c>
      <c r="H36" t="s">
        <v>172</v>
      </c>
      <c r="I36" t="s">
        <v>186</v>
      </c>
      <c r="J36" t="s">
        <v>58</v>
      </c>
      <c r="K36" t="s">
        <v>52</v>
      </c>
      <c r="M36" s="6" t="s">
        <v>20</v>
      </c>
    </row>
    <row r="37" ht="28.05" customHeight="1" spans="1:13">
      <c r="A37" s="5" t="s">
        <v>187</v>
      </c>
      <c r="B37" s="1" t="s">
        <v>188</v>
      </c>
      <c r="C37" s="2" t="s">
        <v>189</v>
      </c>
      <c r="D37" s="2" t="s">
        <v>190</v>
      </c>
      <c r="E37" s="3">
        <v>576.439</v>
      </c>
      <c r="F37" s="2" t="s">
        <v>191</v>
      </c>
      <c r="G37" s="2" t="str">
        <f>_xlfn.DISPIMG("ID_952754360B604352B4B70E05C6F9F1D9",1)</f>
        <v>=DISPIMG("ID_952754360B604352B4B70E05C6F9F1D9",1)</v>
      </c>
      <c r="H37" t="s">
        <v>172</v>
      </c>
      <c r="I37" t="s">
        <v>190</v>
      </c>
      <c r="J37" t="s">
        <v>58</v>
      </c>
      <c r="K37" t="s">
        <v>52</v>
      </c>
      <c r="M37" s="6" t="s">
        <v>20</v>
      </c>
    </row>
    <row r="38" ht="28.05" customHeight="1" spans="1:13">
      <c r="A38" s="5" t="s">
        <v>192</v>
      </c>
      <c r="B38" s="4" t="s">
        <v>193</v>
      </c>
      <c r="C38" s="2"/>
      <c r="E38" s="3">
        <v>430.3083</v>
      </c>
      <c r="F38" s="2" t="s">
        <v>194</v>
      </c>
      <c r="H38" t="s">
        <v>172</v>
      </c>
      <c r="M38" s="6" t="s">
        <v>20</v>
      </c>
    </row>
    <row r="39" ht="27" customHeight="1" spans="1:13">
      <c r="A39" s="5" t="s">
        <v>195</v>
      </c>
      <c r="B39" s="1" t="s">
        <v>196</v>
      </c>
      <c r="C39" s="2" t="s">
        <v>197</v>
      </c>
      <c r="D39" s="2" t="s">
        <v>198</v>
      </c>
      <c r="E39" s="3">
        <v>412.3705</v>
      </c>
      <c r="F39" s="2" t="s">
        <v>199</v>
      </c>
      <c r="G39" s="2" t="str">
        <f>_xlfn.DISPIMG("ID_02D32A29C83D4C63A47F24C109F3338C",1)</f>
        <v>=DISPIMG("ID_02D32A29C83D4C63A47F24C109F3338C",1)</v>
      </c>
      <c r="H39" t="s">
        <v>172</v>
      </c>
      <c r="I39" t="s">
        <v>198</v>
      </c>
      <c r="J39" t="s">
        <v>200</v>
      </c>
      <c r="K39" t="s">
        <v>201</v>
      </c>
      <c r="M39" s="6" t="s">
        <v>20</v>
      </c>
    </row>
    <row r="40" ht="28.05" customHeight="1" spans="1:13">
      <c r="A40" s="5" t="s">
        <v>202</v>
      </c>
      <c r="B40" s="2" t="s">
        <v>203</v>
      </c>
      <c r="C40" s="2" t="s">
        <v>180</v>
      </c>
      <c r="D40" s="7" t="s">
        <v>181</v>
      </c>
      <c r="E40" s="3">
        <v>400.3705</v>
      </c>
      <c r="F40" s="2" t="s">
        <v>182</v>
      </c>
      <c r="G40" s="2" t="str">
        <f>_xlfn.DISPIMG("ID_780AF48293F84BA0ADEE664A06F23303",1)</f>
        <v>=DISPIMG("ID_780AF48293F84BA0ADEE664A06F23303",1)</v>
      </c>
      <c r="H40" t="s">
        <v>172</v>
      </c>
      <c r="I40" t="s">
        <v>181</v>
      </c>
      <c r="J40" t="s">
        <v>58</v>
      </c>
      <c r="K40" t="s">
        <v>52</v>
      </c>
      <c r="M40" s="6" t="s">
        <v>20</v>
      </c>
    </row>
    <row r="41" ht="28.95" customHeight="1" spans="1:13">
      <c r="A41" s="5" t="s">
        <v>204</v>
      </c>
      <c r="B41" s="4" t="s">
        <v>205</v>
      </c>
      <c r="C41" s="2" t="s">
        <v>169</v>
      </c>
      <c r="D41" s="2" t="s">
        <v>170</v>
      </c>
      <c r="E41" s="3">
        <v>414.3134</v>
      </c>
      <c r="F41" s="2" t="s">
        <v>206</v>
      </c>
      <c r="G41" s="2" t="str">
        <f>_xlfn.DISPIMG("ID_A465FE284676405098C04E0FE7EC93B4",1)</f>
        <v>=DISPIMG("ID_A465FE284676405098C04E0FE7EC93B4",1)</v>
      </c>
      <c r="H41" t="s">
        <v>172</v>
      </c>
      <c r="I41" t="s">
        <v>170</v>
      </c>
      <c r="J41" t="s">
        <v>45</v>
      </c>
      <c r="K41" t="s">
        <v>46</v>
      </c>
      <c r="M41" s="6" t="s">
        <v>20</v>
      </c>
    </row>
    <row r="42" ht="28.05" customHeight="1" spans="1:13">
      <c r="A42" s="5" t="s">
        <v>207</v>
      </c>
      <c r="B42" s="1" t="s">
        <v>208</v>
      </c>
      <c r="C42" s="2" t="s">
        <v>209</v>
      </c>
      <c r="D42" s="2" t="s">
        <v>210</v>
      </c>
      <c r="E42" s="3">
        <v>256.1099</v>
      </c>
      <c r="F42" s="2" t="s">
        <v>86</v>
      </c>
      <c r="G42" s="2" t="str">
        <f>_xlfn.DISPIMG("ID_7E58D2CDF6C746F9A8D1811152C3F455",1)</f>
        <v>=DISPIMG("ID_7E58D2CDF6C746F9A8D1811152C3F455",1)</v>
      </c>
      <c r="H42" t="s">
        <v>211</v>
      </c>
      <c r="I42" t="s">
        <v>210</v>
      </c>
      <c r="J42" t="s">
        <v>212</v>
      </c>
      <c r="K42" t="s">
        <v>213</v>
      </c>
      <c r="M42" s="6" t="s">
        <v>20</v>
      </c>
    </row>
    <row r="43" ht="28.95" customHeight="1" spans="1:13">
      <c r="A43" s="5" t="s">
        <v>214</v>
      </c>
      <c r="B43" s="2" t="s">
        <v>215</v>
      </c>
      <c r="C43" s="2" t="s">
        <v>216</v>
      </c>
      <c r="D43" s="2" t="s">
        <v>217</v>
      </c>
      <c r="E43" s="3">
        <v>240.115</v>
      </c>
      <c r="F43" s="2" t="s">
        <v>218</v>
      </c>
      <c r="G43" s="2" t="str">
        <f>_xlfn.DISPIMG("ID_9FE0CBD9751442DBB135FB5B84CB3F63",1)</f>
        <v>=DISPIMG("ID_9FE0CBD9751442DBB135FB5B84CB3F63",1)</v>
      </c>
      <c r="H43" t="s">
        <v>211</v>
      </c>
      <c r="I43" t="s">
        <v>217</v>
      </c>
      <c r="J43" t="s">
        <v>33</v>
      </c>
      <c r="K43" t="s">
        <v>219</v>
      </c>
      <c r="M43" s="6" t="s">
        <v>20</v>
      </c>
    </row>
    <row r="44" ht="28.95" customHeight="1" spans="1:13">
      <c r="A44" s="5" t="s">
        <v>220</v>
      </c>
      <c r="B44" s="2" t="s">
        <v>221</v>
      </c>
      <c r="C44" s="2" t="s">
        <v>222</v>
      </c>
      <c r="D44" s="2" t="s">
        <v>223</v>
      </c>
      <c r="E44" s="3">
        <v>212.0837</v>
      </c>
      <c r="F44" s="2" t="s">
        <v>224</v>
      </c>
      <c r="G44" s="2" t="str">
        <f>_xlfn.DISPIMG("ID_EB130E7E2652419AAD90D8063D969C30",1)</f>
        <v>=DISPIMG("ID_EB130E7E2652419AAD90D8063D969C30",1)</v>
      </c>
      <c r="H44" t="s">
        <v>211</v>
      </c>
      <c r="I44" t="s">
        <v>223</v>
      </c>
      <c r="J44" t="s">
        <v>33</v>
      </c>
      <c r="K44" t="s">
        <v>219</v>
      </c>
      <c r="M44" s="6" t="s">
        <v>20</v>
      </c>
    </row>
    <row r="45" ht="28.95" customHeight="1" spans="1:13">
      <c r="A45" s="5" t="s">
        <v>225</v>
      </c>
      <c r="B45" s="2" t="s">
        <v>226</v>
      </c>
      <c r="C45" s="2" t="s">
        <v>209</v>
      </c>
      <c r="D45" s="2" t="s">
        <v>210</v>
      </c>
      <c r="E45" s="3">
        <v>256.1099</v>
      </c>
      <c r="F45" s="2" t="s">
        <v>86</v>
      </c>
      <c r="G45" s="2" t="str">
        <f>_xlfn.DISPIMG("ID_0DD49BD79438474EB7559E48016E0B3E",1)</f>
        <v>=DISPIMG("ID_0DD49BD79438474EB7559E48016E0B3E",1)</v>
      </c>
      <c r="H45" t="s">
        <v>211</v>
      </c>
      <c r="J45" s="10" t="s">
        <v>227</v>
      </c>
      <c r="K45" t="s">
        <v>228</v>
      </c>
      <c r="M45" s="6" t="s">
        <v>20</v>
      </c>
    </row>
    <row r="46" ht="27" customHeight="1" spans="1:13">
      <c r="A46" s="5" t="s">
        <v>229</v>
      </c>
      <c r="B46" s="1" t="s">
        <v>230</v>
      </c>
      <c r="C46" s="2" t="s">
        <v>231</v>
      </c>
      <c r="D46" s="2" t="s">
        <v>232</v>
      </c>
      <c r="E46" s="3">
        <v>356.126</v>
      </c>
      <c r="F46" s="2" t="s">
        <v>233</v>
      </c>
      <c r="G46" s="2" t="str">
        <f>_xlfn.DISPIMG("ID_7ED41CA372F44D39B889F7BB8DABF167",1)</f>
        <v>=DISPIMG("ID_7ED41CA372F44D39B889F7BB8DABF167",1)</v>
      </c>
      <c r="H46" t="s">
        <v>211</v>
      </c>
      <c r="I46" t="s">
        <v>232</v>
      </c>
      <c r="J46" t="s">
        <v>58</v>
      </c>
      <c r="K46" t="s">
        <v>52</v>
      </c>
      <c r="M46" s="6" t="s">
        <v>20</v>
      </c>
    </row>
    <row r="47" ht="28.05" customHeight="1" spans="1:13">
      <c r="A47" s="5" t="s">
        <v>234</v>
      </c>
      <c r="B47" s="2" t="s">
        <v>235</v>
      </c>
      <c r="C47" s="2" t="s">
        <v>236</v>
      </c>
      <c r="D47" s="2" t="s">
        <v>237</v>
      </c>
      <c r="E47" s="3">
        <v>152.0473</v>
      </c>
      <c r="F47" s="2" t="s">
        <v>238</v>
      </c>
      <c r="G47" s="2" t="str">
        <f>_xlfn.DISPIMG("ID_0BBD5BD1967343D1976902D62451CF48",1)</f>
        <v>=DISPIMG("ID_0BBD5BD1967343D1976902D62451CF48",1)</v>
      </c>
      <c r="H47" t="s">
        <v>211</v>
      </c>
      <c r="I47" t="s">
        <v>237</v>
      </c>
      <c r="J47" t="s">
        <v>239</v>
      </c>
      <c r="K47" t="s">
        <v>240</v>
      </c>
      <c r="M47" s="6" t="s">
        <v>20</v>
      </c>
    </row>
    <row r="48" ht="28.05" customHeight="1" spans="1:13">
      <c r="A48" s="5" t="s">
        <v>241</v>
      </c>
      <c r="B48" s="1" t="s">
        <v>242</v>
      </c>
      <c r="C48" s="2" t="s">
        <v>243</v>
      </c>
      <c r="D48" s="2" t="s">
        <v>244</v>
      </c>
      <c r="E48" s="3">
        <v>228.0786</v>
      </c>
      <c r="F48" s="2" t="s">
        <v>245</v>
      </c>
      <c r="G48" s="2" t="str">
        <f>_xlfn.DISPIMG("ID_41C8941E163E4D21890FAF99DEBA6D84",1)</f>
        <v>=DISPIMG("ID_41C8941E163E4D21890FAF99DEBA6D84",1)</v>
      </c>
      <c r="H48" t="s">
        <v>153</v>
      </c>
      <c r="I48" t="s">
        <v>244</v>
      </c>
      <c r="J48" t="s">
        <v>212</v>
      </c>
      <c r="K48" t="s">
        <v>213</v>
      </c>
      <c r="M48" s="6" t="s">
        <v>20</v>
      </c>
    </row>
    <row r="49" ht="28.05" customHeight="1" spans="1:13">
      <c r="A49" s="5" t="s">
        <v>246</v>
      </c>
      <c r="B49" s="1" t="s">
        <v>247</v>
      </c>
      <c r="C49" s="2" t="s">
        <v>248</v>
      </c>
      <c r="D49" s="2" t="s">
        <v>249</v>
      </c>
      <c r="E49" s="3">
        <v>146.0368</v>
      </c>
      <c r="F49" s="2" t="s">
        <v>250</v>
      </c>
      <c r="G49" s="2" t="str">
        <f>_xlfn.DISPIMG("ID_D9065B693CE448B5B4181A5F9779DB0F",1)</f>
        <v>=DISPIMG("ID_D9065B693CE448B5B4181A5F9779DB0F",1)</v>
      </c>
      <c r="H49" t="s">
        <v>251</v>
      </c>
      <c r="I49" t="s">
        <v>249</v>
      </c>
      <c r="J49" t="s">
        <v>252</v>
      </c>
      <c r="K49" t="s">
        <v>213</v>
      </c>
      <c r="M49" s="6" t="s">
        <v>20</v>
      </c>
    </row>
    <row r="50" ht="28.95" customHeight="1" spans="1:13">
      <c r="A50" s="5" t="s">
        <v>253</v>
      </c>
      <c r="B50" s="2" t="s">
        <v>254</v>
      </c>
      <c r="C50" s="2" t="s">
        <v>255</v>
      </c>
      <c r="D50" s="2" t="s">
        <v>256</v>
      </c>
      <c r="E50" s="3">
        <v>184.0736</v>
      </c>
      <c r="F50" s="2" t="s">
        <v>257</v>
      </c>
      <c r="G50" s="2" t="str">
        <f>_xlfn.DISPIMG("ID_2AD096BC430F43C2A473B474658445CA",1)</f>
        <v>=DISPIMG("ID_2AD096BC430F43C2A473B474658445CA",1)</v>
      </c>
      <c r="H50" t="s">
        <v>211</v>
      </c>
      <c r="I50" t="s">
        <v>256</v>
      </c>
      <c r="J50" t="s">
        <v>45</v>
      </c>
      <c r="K50" t="s">
        <v>46</v>
      </c>
      <c r="M50" s="6" t="s">
        <v>20</v>
      </c>
    </row>
    <row r="51" ht="28.95" customHeight="1" spans="1:13">
      <c r="A51" s="5" t="s">
        <v>258</v>
      </c>
      <c r="B51" s="1" t="s">
        <v>259</v>
      </c>
      <c r="C51" s="2" t="s">
        <v>260</v>
      </c>
      <c r="D51" s="2" t="s">
        <v>261</v>
      </c>
      <c r="E51" s="3">
        <v>138.0317</v>
      </c>
      <c r="F51" s="2" t="s">
        <v>262</v>
      </c>
      <c r="G51" s="2" t="str">
        <f>_xlfn.DISPIMG("ID_A1F274030CDD479D83706A29C68D7E2D",1)</f>
        <v>=DISPIMG("ID_A1F274030CDD479D83706A29C68D7E2D",1)</v>
      </c>
      <c r="H51" t="s">
        <v>263</v>
      </c>
      <c r="I51" t="s">
        <v>261</v>
      </c>
      <c r="J51" t="s">
        <v>239</v>
      </c>
      <c r="K51" t="s">
        <v>240</v>
      </c>
      <c r="M51" s="6" t="s">
        <v>20</v>
      </c>
    </row>
    <row r="52" ht="28.05" customHeight="1" spans="1:13">
      <c r="A52" s="5" t="s">
        <v>264</v>
      </c>
      <c r="B52" s="1" t="s">
        <v>265</v>
      </c>
      <c r="C52" s="2" t="s">
        <v>266</v>
      </c>
      <c r="D52" s="2" t="s">
        <v>267</v>
      </c>
      <c r="E52" s="3">
        <v>542.2305</v>
      </c>
      <c r="F52" s="2" t="s">
        <v>268</v>
      </c>
      <c r="G52" s="2" t="str">
        <f>_xlfn.DISPIMG("ID_DFA6FAEF1C054D7FBFBA2C87484B5AE0",1)</f>
        <v>=DISPIMG("ID_DFA6FAEF1C054D7FBFBA2C87484B5AE0",1)</v>
      </c>
      <c r="H52" t="s">
        <v>211</v>
      </c>
      <c r="I52" t="s">
        <v>267</v>
      </c>
      <c r="J52" t="s">
        <v>58</v>
      </c>
      <c r="K52" t="s">
        <v>52</v>
      </c>
      <c r="M52" s="6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wujiayu</dc:creator>
  <cp:lastModifiedBy>dear</cp:lastModifiedBy>
  <dcterms:created xsi:type="dcterms:W3CDTF">2024-01-11T03:00:00Z</dcterms:created>
  <dcterms:modified xsi:type="dcterms:W3CDTF">2025-12-03T06:13:47Z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B9E4366AECAB4AB8815AECA01311EBD2_11</vt:lpwstr>
  </property>
  <property fmtid="{D5CDD505-2E9C-101B-9397-08002B2CF9AE}" pid="3" name="KSOProductBuildVer">
    <vt:lpwstr>2052-12.1.0.23542</vt:lpwstr>
  </property>
</Properties>
</file>